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itha j\Downloads\"/>
    </mc:Choice>
  </mc:AlternateContent>
  <xr:revisionPtr revIDLastSave="0" documentId="8_{B23767B5-A4ED-4D28-AA1F-CE5A70DA87DA}" xr6:coauthVersionLast="47" xr6:coauthVersionMax="47" xr10:uidLastSave="{00000000-0000-0000-0000-000000000000}"/>
  <bookViews>
    <workbookView xWindow="-108" yWindow="-108" windowWidth="23256" windowHeight="12456" firstSheet="2" activeTab="7" xr2:uid="{C2129215-B056-47B5-BD2F-DEDC9612035A}"/>
  </bookViews>
  <sheets>
    <sheet name="Data Validation" sheetId="1" r:id="rId1"/>
    <sheet name="Conditional Formatting" sheetId="2" r:id="rId2"/>
    <sheet name="Sorting" sheetId="3" r:id="rId3"/>
    <sheet name="Filtering" sheetId="4" r:id="rId4"/>
    <sheet name="Data Cleaning" sheetId="5" r:id="rId5"/>
    <sheet name="Flash-Fill" sheetId="6" r:id="rId6"/>
    <sheet name="Basic Aggregation" sheetId="7" r:id="rId7"/>
    <sheet name="IF Functio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7" l="1"/>
  <c r="J19" i="7"/>
  <c r="J18" i="7"/>
  <c r="E19" i="7"/>
  <c r="E18" i="7"/>
  <c r="I18" i="7"/>
  <c r="G18" i="7"/>
  <c r="C20" i="7"/>
  <c r="C19" i="7"/>
  <c r="C18" i="7"/>
  <c r="A17" i="7"/>
  <c r="M20" i="7"/>
  <c r="M19" i="7"/>
  <c r="M18" i="7"/>
  <c r="M17" i="7"/>
  <c r="G19" i="6" a="1"/>
  <c r="G19" i="6" s="1"/>
  <c r="E19" i="5" a="1"/>
  <c r="E19" i="5" s="1"/>
  <c r="F19" i="5" a="1"/>
  <c r="F19" i="5" s="1"/>
  <c r="H22" i="5" a="1"/>
  <c r="H2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<sst xmlns="http://schemas.openxmlformats.org/spreadsheetml/2006/main" count="1147" uniqueCount="101">
  <si>
    <t>Product</t>
  </si>
  <si>
    <t>Order ID</t>
  </si>
  <si>
    <t>Order Date</t>
  </si>
  <si>
    <t>Customer Name</t>
  </si>
  <si>
    <t>Category</t>
  </si>
  <si>
    <t>City</t>
  </si>
  <si>
    <t>Quantity</t>
  </si>
  <si>
    <t>Unit Price</t>
  </si>
  <si>
    <t>Discount %</t>
  </si>
  <si>
    <t>Sales Person</t>
  </si>
  <si>
    <t>Payment Mode</t>
  </si>
  <si>
    <t>Status</t>
  </si>
  <si>
    <t>ORD1001</t>
  </si>
  <si>
    <t>John Smith</t>
  </si>
  <si>
    <t>Laptop</t>
  </si>
  <si>
    <t>Electronics</t>
  </si>
  <si>
    <t>Chennai</t>
  </si>
  <si>
    <t>Rahul</t>
  </si>
  <si>
    <t>Card</t>
  </si>
  <si>
    <t>Delivered</t>
  </si>
  <si>
    <t>ORD1002</t>
  </si>
  <si>
    <t>Alice Brown</t>
  </si>
  <si>
    <t>Mouse</t>
  </si>
  <si>
    <t>Bangalore</t>
  </si>
  <si>
    <t>Priya</t>
  </si>
  <si>
    <t>UPI</t>
  </si>
  <si>
    <t>ORD1003</t>
  </si>
  <si>
    <t>David Lee</t>
  </si>
  <si>
    <t>Keyboard</t>
  </si>
  <si>
    <t>Cash</t>
  </si>
  <si>
    <t>Pending</t>
  </si>
  <si>
    <t>ORD1004</t>
  </si>
  <si>
    <t>Emma Wilson</t>
  </si>
  <si>
    <t>Chair</t>
  </si>
  <si>
    <t>Furniture</t>
  </si>
  <si>
    <t>Hyderabad</t>
  </si>
  <si>
    <t>Kiran</t>
  </si>
  <si>
    <t>ORD1005</t>
  </si>
  <si>
    <t>Table</t>
  </si>
  <si>
    <t>Cancelled</t>
  </si>
  <si>
    <t>ORD1006</t>
  </si>
  <si>
    <t>Ravi Kumar</t>
  </si>
  <si>
    <t>ORD1007</t>
  </si>
  <si>
    <t>Meena Devi</t>
  </si>
  <si>
    <t>Monitor</t>
  </si>
  <si>
    <t>Mumbai</t>
  </si>
  <si>
    <t>ORD1008</t>
  </si>
  <si>
    <t>(Blank)</t>
  </si>
  <si>
    <t>Printer</t>
  </si>
  <si>
    <t>Delhi</t>
  </si>
  <si>
    <t>ORD1009</t>
  </si>
  <si>
    <t>Anil Kumar</t>
  </si>
  <si>
    <t>ORD1010</t>
  </si>
  <si>
    <t>Sarah Jones</t>
  </si>
  <si>
    <t>ORD1011</t>
  </si>
  <si>
    <t>ORD1012</t>
  </si>
  <si>
    <t>Returned</t>
  </si>
  <si>
    <t>ORD1013</t>
  </si>
  <si>
    <t>ORD1014</t>
  </si>
  <si>
    <t>ORD1015</t>
  </si>
  <si>
    <t>Sales</t>
  </si>
  <si>
    <t>First Name</t>
  </si>
  <si>
    <t>Last Name</t>
  </si>
  <si>
    <t>Emma</t>
  </si>
  <si>
    <t>John</t>
  </si>
  <si>
    <t>David</t>
  </si>
  <si>
    <t>Alice</t>
  </si>
  <si>
    <t>Ravi</t>
  </si>
  <si>
    <t>Anil</t>
  </si>
  <si>
    <t>Meena</t>
  </si>
  <si>
    <t>Sarah</t>
  </si>
  <si>
    <t>Wilson</t>
  </si>
  <si>
    <t>Smith</t>
  </si>
  <si>
    <t>Lee</t>
  </si>
  <si>
    <t>Brown</t>
  </si>
  <si>
    <t>Kumar</t>
  </si>
  <si>
    <t>Devi</t>
  </si>
  <si>
    <t>Jones</t>
  </si>
  <si>
    <t>Last First</t>
  </si>
  <si>
    <t>Initials</t>
  </si>
  <si>
    <t>EW</t>
  </si>
  <si>
    <t>JS</t>
  </si>
  <si>
    <t>DL</t>
  </si>
  <si>
    <t>AB</t>
  </si>
  <si>
    <t>RK</t>
  </si>
  <si>
    <t>AK</t>
  </si>
  <si>
    <t>MD</t>
  </si>
  <si>
    <t>SJ</t>
  </si>
  <si>
    <t>Product-City</t>
  </si>
  <si>
    <t>Chair-Hyderabad</t>
  </si>
  <si>
    <t>Chair-Chennai</t>
  </si>
  <si>
    <t>Keyboard-Delhi</t>
  </si>
  <si>
    <t>Keyboard-Chennai</t>
  </si>
  <si>
    <t>Laptop-Chennai</t>
  </si>
  <si>
    <t>Laptop-Bangalore</t>
  </si>
  <si>
    <t>Monitor-Mumbai</t>
  </si>
  <si>
    <t>Mouse-Bangalore</t>
  </si>
  <si>
    <t>Printer-Chennai</t>
  </si>
  <si>
    <t>Printer-Delhi</t>
  </si>
  <si>
    <t>Table-Bangalore</t>
  </si>
  <si>
    <t>Table-Hyderabad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</si>
</sst>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14" fontId="0" fillId="3" borderId="2" xfId="0" applyNumberFormat="1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horizontal="right" vertical="center" wrapText="1"/>
    </xf>
    <xf numFmtId="0" fontId="0" fillId="3" borderId="3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4" fontId="0" fillId="0" borderId="2" xfId="0" applyNumberFormat="1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right" vertical="center" wrapText="1"/>
    </xf>
    <xf numFmtId="0" fontId="0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139"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453494</xdr:colOff>
      <xdr:row>4</xdr:row>
      <xdr:rowOff>50242</xdr:rowOff>
    </xdr:from>
    <xdr:to>
      <xdr:col>20</xdr:col>
      <xdr:colOff>344808</xdr:colOff>
      <xdr:row>12</xdr:row>
      <xdr:rowOff>150725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025AAD-F853-0058-D098-0C3DC4314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2329" y="787121"/>
          <a:ext cx="4781512" cy="15742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269773</xdr:colOff>
      <xdr:row>4</xdr:row>
      <xdr:rowOff>32877</xdr:rowOff>
    </xdr:from>
    <xdr:to>
      <xdr:col>22</xdr:col>
      <xdr:colOff>345177</xdr:colOff>
      <xdr:row>17</xdr:row>
      <xdr:rowOff>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09AB6F-B3B0-B798-EEC5-3E3785B63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14198" y="937752"/>
          <a:ext cx="4952204" cy="23218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66261</xdr:rowOff>
    </xdr:from>
    <xdr:to>
      <xdr:col>7</xdr:col>
      <xdr:colOff>96950</xdr:colOff>
      <xdr:row>26</xdr:row>
      <xdr:rowOff>102850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6E77B-F77D-C68C-AF0A-B4798BD0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63957"/>
          <a:ext cx="6226080" cy="16765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56866</xdr:colOff>
      <xdr:row>3</xdr:row>
      <xdr:rowOff>56865</xdr:rowOff>
    </xdr:from>
    <xdr:to>
      <xdr:col>21</xdr:col>
      <xdr:colOff>612182</xdr:colOff>
      <xdr:row>17</xdr:row>
      <xdr:rowOff>143652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6283D-481C-052D-32B9-3E0E3C88E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92687" y="1148686"/>
          <a:ext cx="4854361" cy="14174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404090</xdr:colOff>
      <xdr:row>4</xdr:row>
      <xdr:rowOff>92364</xdr:rowOff>
    </xdr:from>
    <xdr:to>
      <xdr:col>24</xdr:col>
      <xdr:colOff>88835</xdr:colOff>
      <xdr:row>14</xdr:row>
      <xdr:rowOff>119773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1D4A95-7EE0-73A9-E860-086107C50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4454" y="1385455"/>
          <a:ext cx="4580017" cy="18746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193040</xdr:colOff>
      <xdr:row>18</xdr:row>
      <xdr:rowOff>81280</xdr:rowOff>
    </xdr:from>
    <xdr:to>
      <xdr:col>4</xdr:col>
      <xdr:colOff>348265</xdr:colOff>
      <xdr:row>26</xdr:row>
      <xdr:rowOff>104269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09BE64-F50B-5EE2-870A-8568F5247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040" y="3921760"/>
          <a:ext cx="3284505" cy="14860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582084</xdr:colOff>
      <xdr:row>0</xdr:row>
      <xdr:rowOff>243416</xdr:rowOff>
    </xdr:from>
    <xdr:to>
      <xdr:col>20</xdr:col>
      <xdr:colOff>95581</xdr:colOff>
      <xdr:row>19</xdr:row>
      <xdr:rowOff>124761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24AF13-D371-5FE1-26B1-2081D3563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5334" y="243416"/>
          <a:ext cx="3810330" cy="34902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381754</xdr:colOff>
      <xdr:row>5</xdr:row>
      <xdr:rowOff>78221</xdr:rowOff>
    </xdr:from>
    <xdr:to>
      <xdr:col>24</xdr:col>
      <xdr:colOff>298826</xdr:colOff>
      <xdr:row>8</xdr:row>
      <xdr:rowOff>290969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B1C63-8BA4-31F6-284B-7E1171242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8792" y="1910879"/>
          <a:ext cx="6601452" cy="13123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56FFAF-F628-498D-BA6B-3FA77CE468B9}" name="Table2" displayName="Table2" ref="A1:L16" totalsRowShown="0" headerRowDxfId="125" dataDxfId="126">
  <autoFilter ref="A1:L16" xr:uid="{B956FFAF-F628-498D-BA6B-3FA77CE468B9}"/>
  <tableColumns count="12">
    <tableColumn id="1" xr3:uid="{5153AC39-2A8A-4379-A476-308866B6A5A8}" name="Order ID" dataDxfId="138"/>
    <tableColumn id="2" xr3:uid="{A90C7E01-63E8-432C-9990-F46A0200719E}" name="Order Date" dataDxfId="137"/>
    <tableColumn id="3" xr3:uid="{EF86095E-F10D-4382-9816-6674AAC60749}" name="Customer Name" dataDxfId="136"/>
    <tableColumn id="4" xr3:uid="{ABF6FD64-B7AB-4DD7-A10A-49B5D9F611EC}" name="Product" dataDxfId="135"/>
    <tableColumn id="5" xr3:uid="{6C8D7EF5-B55D-4B07-81AA-42BC785B84B3}" name="Category" dataDxfId="134"/>
    <tableColumn id="6" xr3:uid="{4D3C377C-E1E4-455D-B475-C95AC0955619}" name="City" dataDxfId="133"/>
    <tableColumn id="7" xr3:uid="{56A533D8-E7F4-4E72-A10D-1C8C994129F9}" name="Quantity" dataDxfId="132"/>
    <tableColumn id="8" xr3:uid="{E7A1E565-FB49-4703-B0EC-91CB6C8253D3}" name="Unit Price" dataDxfId="131"/>
    <tableColumn id="9" xr3:uid="{AF7C39E4-BD7B-4DDD-8853-436DCE5BB50C}" name="Discount %" dataDxfId="130"/>
    <tableColumn id="10" xr3:uid="{86C0E233-EE30-4F8C-8A47-DE5037DB86B6}" name="Sales Person" dataDxfId="129"/>
    <tableColumn id="11" xr3:uid="{B458019E-EEE3-4672-A95C-F705ED976A16}" name="Payment Mode" dataDxfId="128"/>
    <tableColumn id="12" xr3:uid="{CB9B0F1B-6B0B-41F0-9A2F-7E37FBBCC3A0}" name="Status" dataDxfId="1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F579F6-919B-4B94-A529-0ADAD1BF6FAC}" name="Table3" displayName="Table3" ref="A1:M16" totalsRowShown="0" headerRowDxfId="111" dataDxfId="112">
  <autoFilter ref="A1:M16" xr:uid="{52F579F6-919B-4B94-A529-0ADAD1BF6FAC}"/>
  <tableColumns count="13">
    <tableColumn id="1" xr3:uid="{A7112882-1A3F-440F-A62C-3A39E3417527}" name="Order ID" dataDxfId="124"/>
    <tableColumn id="2" xr3:uid="{0164F799-7681-44AD-8437-9E1002FB5C64}" name="Order Date" dataDxfId="123"/>
    <tableColumn id="3" xr3:uid="{39DC36A1-B43B-4412-9C20-6B5479967401}" name="Customer Name" dataDxfId="122"/>
    <tableColumn id="4" xr3:uid="{D7029753-4D90-4776-B748-E1D123E90166}" name="Product" dataDxfId="121"/>
    <tableColumn id="5" xr3:uid="{9EDEFCAF-6E6A-406D-8FBE-92889E7976E8}" name="Category" dataDxfId="120"/>
    <tableColumn id="6" xr3:uid="{9953CADB-1970-4439-ABD9-C6F3C898A6A9}" name="City" dataDxfId="119"/>
    <tableColumn id="7" xr3:uid="{E63A4634-EE04-4CD4-84F6-B21A50900A29}" name="Quantity" dataDxfId="118"/>
    <tableColumn id="8" xr3:uid="{2CE8C9E2-8AB2-4152-A59E-1E789E308F1E}" name="Unit Price" dataDxfId="117"/>
    <tableColumn id="9" xr3:uid="{8FFDF75E-D0A2-44F8-B5E5-0A1D496B5613}" name="Discount %" dataDxfId="116"/>
    <tableColumn id="10" xr3:uid="{5CC262E6-271D-406B-BC9C-9B8850E55C8F}" name="Sales Person" dataDxfId="115"/>
    <tableColumn id="11" xr3:uid="{E64F438C-E71B-4070-ABAC-7A2F7B5CD88D}" name="Payment Mode" dataDxfId="114"/>
    <tableColumn id="12" xr3:uid="{24C4F3E4-2E17-4A45-A5E3-239527269E25}" name="Status" dataDxfId="113"/>
    <tableColumn id="14" xr3:uid="{A5FE4AE3-2F57-4BDC-9AC1-126D8B9E9AE8}" name="Sales" dataDxfId="1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9D3983-6163-4D92-96EB-622E7ECFAED8}" name="Table35" displayName="Table35" ref="A1:M16" totalsRowShown="0" headerRowDxfId="109" dataDxfId="108">
  <autoFilter ref="A1:M16" xr:uid="{9B9D3983-6163-4D92-96EB-622E7ECFAED8}"/>
  <sortState xmlns:xlrd2="http://schemas.microsoft.com/office/spreadsheetml/2017/richdata2" ref="A2:M16">
    <sortCondition ref="D1:D16"/>
  </sortState>
  <tableColumns count="13">
    <tableColumn id="1" xr3:uid="{D64B25A4-08E2-449B-9173-E6EC171D0701}" name="Order ID" dataDxfId="107"/>
    <tableColumn id="2" xr3:uid="{F5BE8B58-90FF-4A37-B39D-6E4EE98ABE52}" name="Order Date" dataDxfId="106"/>
    <tableColumn id="3" xr3:uid="{C4774B3E-2CFF-4706-BD61-040A5E258D0E}" name="Customer Name" dataDxfId="105"/>
    <tableColumn id="4" xr3:uid="{090AE57A-31F7-4A65-A77A-7B0505F8B85E}" name="Product" dataDxfId="104"/>
    <tableColumn id="5" xr3:uid="{3343F42E-3431-4B35-B31E-0F499A5155BE}" name="Category" dataDxfId="103"/>
    <tableColumn id="6" xr3:uid="{1BE05113-2F1A-4B92-8B6B-18D13B9E3709}" name="City" dataDxfId="102"/>
    <tableColumn id="7" xr3:uid="{588FD5C4-E5AB-4F0D-BD3D-80D5ACACD7E2}" name="Quantity" dataDxfId="101"/>
    <tableColumn id="8" xr3:uid="{F893A3F0-724D-4EDB-B37F-05E17F1E9EC0}" name="Unit Price" dataDxfId="100"/>
    <tableColumn id="9" xr3:uid="{93649DBB-3562-483C-BD05-DC6B83528CD5}" name="Discount %" dataDxfId="99"/>
    <tableColumn id="10" xr3:uid="{30DA5BF0-D869-4335-BCEC-1FDAD9FFB02F}" name="Sales Person" dataDxfId="98"/>
    <tableColumn id="11" xr3:uid="{74F29158-4847-4DF9-B53B-DF793FB249C2}" name="Payment Mode" dataDxfId="97"/>
    <tableColumn id="12" xr3:uid="{294C9648-5FCA-4EFB-A1F1-AFEBA91DB3C1}" name="Status" dataDxfId="96"/>
    <tableColumn id="14" xr3:uid="{F87B72FB-B669-4DA7-95A0-58502052EFFC}" name="Sales" dataDxfId="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B43511-42B3-4B94-A059-AEE93B0BCA75}" name="Table358" displayName="Table358" ref="A1:M16" totalsRowShown="0" headerRowDxfId="94" dataDxfId="93">
  <autoFilter ref="A1:M16" xr:uid="{96B43511-42B3-4B94-A059-AEE93B0BCA75}">
    <filterColumn colId="5">
      <filters>
        <filter val="Chennai"/>
      </filters>
    </filterColumn>
    <filterColumn colId="11">
      <filters>
        <filter val="Delivered"/>
      </filters>
    </filterColumn>
  </autoFilter>
  <sortState xmlns:xlrd2="http://schemas.microsoft.com/office/spreadsheetml/2017/richdata2" ref="A2:M16">
    <sortCondition ref="D1:D16"/>
  </sortState>
  <tableColumns count="13">
    <tableColumn id="1" xr3:uid="{9DD7736E-6561-4515-B7B0-AAEF6ECE3B63}" name="Order ID" dataDxfId="92"/>
    <tableColumn id="2" xr3:uid="{287D1941-2E03-4F0C-9D5C-9805B0F5E5F8}" name="Order Date" dataDxfId="91"/>
    <tableColumn id="3" xr3:uid="{DAB42E60-C87F-43BC-86E0-670FD0AD7248}" name="Customer Name" dataDxfId="90"/>
    <tableColumn id="4" xr3:uid="{02538661-36A7-4F71-BFC7-151D570CD2F0}" name="Product" dataDxfId="89"/>
    <tableColumn id="5" xr3:uid="{6209380F-0A30-45CA-A3E7-26CECBA64388}" name="Category" dataDxfId="88"/>
    <tableColumn id="6" xr3:uid="{9B9449BE-CF0D-4EA0-886F-D69DC5800864}" name="City" dataDxfId="87"/>
    <tableColumn id="7" xr3:uid="{9757AD09-C420-420B-8843-C782797E9DC9}" name="Quantity" dataDxfId="86"/>
    <tableColumn id="8" xr3:uid="{C80940C1-25C8-4AE4-9F56-1B5F88D18554}" name="Unit Price" dataDxfId="85"/>
    <tableColumn id="9" xr3:uid="{9768C9B7-C86E-4A8B-89B7-B5419F34EAF9}" name="Discount %" dataDxfId="84"/>
    <tableColumn id="10" xr3:uid="{5D50DD37-4B7D-402F-8814-E6807B963136}" name="Sales Person" dataDxfId="83"/>
    <tableColumn id="11" xr3:uid="{02E50A9B-313A-493E-808E-1C2A6B9E0CB6}" name="Payment Mode" dataDxfId="82"/>
    <tableColumn id="12" xr3:uid="{74E78B9F-25F5-44FC-BC91-F6B89946B57C}" name="Status" dataDxfId="81"/>
    <tableColumn id="14" xr3:uid="{52CABA6B-BF2A-4683-96F7-534915FBD95D}" name="Sales" dataDxfId="8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7B66AD-89CA-4523-B011-12D643447CEC}" name="Table359" displayName="Table359" ref="A1:O16" totalsRowShown="0" headerRowDxfId="79" dataDxfId="78">
  <autoFilter ref="A1:O16" xr:uid="{077B66AD-89CA-4523-B011-12D643447CEC}"/>
  <sortState xmlns:xlrd2="http://schemas.microsoft.com/office/spreadsheetml/2017/richdata2" ref="A2:O16">
    <sortCondition ref="F1:F16"/>
  </sortState>
  <tableColumns count="15">
    <tableColumn id="1" xr3:uid="{D5B0DE80-37E6-4478-A704-DE2A3350172F}" name="Order ID" dataDxfId="77"/>
    <tableColumn id="2" xr3:uid="{D949C06A-205D-4969-8078-3D94DE85ED37}" name="Order Date" dataDxfId="76"/>
    <tableColumn id="3" xr3:uid="{3CB5B972-2792-43AB-82A0-EB7DB0569DE0}" name="Customer Name" dataDxfId="75"/>
    <tableColumn id="15" xr3:uid="{5A671E88-402C-4C2C-BDA3-D38DA1A1BB0F}" name="First Name" dataDxfId="64"/>
    <tableColumn id="16" xr3:uid="{6BAB9C5C-3AEE-4745-B119-83785BD27DAB}" name="Last Name" dataDxfId="63"/>
    <tableColumn id="4" xr3:uid="{2D5AD0B2-AA56-4FBB-89AE-55A660A8F823}" name="Product" dataDxfId="74"/>
    <tableColumn id="5" xr3:uid="{1CD8F269-6C5B-47F3-8294-CE8D70251F7C}" name="Category" dataDxfId="73"/>
    <tableColumn id="6" xr3:uid="{5417F870-DC59-48CC-A100-F5A3356225A1}" name="City" dataDxfId="72"/>
    <tableColumn id="7" xr3:uid="{BB02040C-5F8D-4FB4-B485-85C7D2F72242}" name="Quantity" dataDxfId="71"/>
    <tableColumn id="8" xr3:uid="{33B416C4-2FBF-4FE8-AF29-D29430FE152C}" name="Unit Price" dataDxfId="70"/>
    <tableColumn id="9" xr3:uid="{14AD6F25-27B2-47D1-B481-075437BDD0A6}" name="Discount %" dataDxfId="69"/>
    <tableColumn id="10" xr3:uid="{7ADD9629-2141-4301-AF88-35F992381BE7}" name="Sales Person" dataDxfId="68"/>
    <tableColumn id="11" xr3:uid="{671F41D9-599F-4FA0-BB87-C5CC17A6D14D}" name="Payment Mode" dataDxfId="67"/>
    <tableColumn id="12" xr3:uid="{4642FC6D-9582-4B66-843A-D9F6913D4A81}" name="Status" dataDxfId="66"/>
    <tableColumn id="14" xr3:uid="{A0565829-FD70-465A-9CB0-849E1C0A6572}" name="Sales" dataDxfId="6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6F3A39-E017-4F1E-9095-729B6753996C}" name="Table3510" displayName="Table3510" ref="A1:Q16" totalsRowShown="0" headerRowDxfId="62" dataDxfId="61">
  <autoFilter ref="A1:Q16" xr:uid="{EF6F3A39-E017-4F1E-9095-729B6753996C}"/>
  <sortState xmlns:xlrd2="http://schemas.microsoft.com/office/spreadsheetml/2017/richdata2" ref="A2:P16">
    <sortCondition ref="G1:G16"/>
  </sortState>
  <tableColumns count="17">
    <tableColumn id="1" xr3:uid="{1FAC2905-09AA-4B62-9FE2-2871D0E480FA}" name="Order ID" dataDxfId="60"/>
    <tableColumn id="2" xr3:uid="{FA3233A5-A3CE-49FC-8755-B1E9E40FCAE3}" name="Order Date" dataDxfId="59"/>
    <tableColumn id="3" xr3:uid="{0F29B138-BB50-42C5-9096-48F18A0B466C}" name="Customer Name" dataDxfId="58"/>
    <tableColumn id="18" xr3:uid="{2D54B237-C95D-4A2E-B1BF-3FBE8E4A7047}" name="First Name" dataDxfId="46"/>
    <tableColumn id="17" xr3:uid="{90DF1044-6A5E-484A-A11C-D751BB4C8255}" name="Last First" dataDxfId="47"/>
    <tableColumn id="19" xr3:uid="{559C081B-5268-4713-803C-B8165C7A4D5E}" name="Initials" dataDxfId="45"/>
    <tableColumn id="4" xr3:uid="{C7B4DED5-1CAD-4C38-8336-F2F06810C59F}" name="Product" dataDxfId="57"/>
    <tableColumn id="5" xr3:uid="{A6FA836D-385A-46DB-B911-B941688746FE}" name="Category" dataDxfId="56"/>
    <tableColumn id="6" xr3:uid="{C7679135-9CE0-4897-BE3E-6786673DF007}" name="City" dataDxfId="55"/>
    <tableColumn id="7" xr3:uid="{2776BB53-06ED-4D4A-8FF6-8922392C7FE8}" name="Quantity" dataDxfId="54"/>
    <tableColumn id="8" xr3:uid="{E4793370-A42A-4B71-A755-A839169C5BD0}" name="Unit Price" dataDxfId="53"/>
    <tableColumn id="9" xr3:uid="{BAAB3258-E176-4383-B9D1-2A853C1A76DC}" name="Discount %" dataDxfId="52"/>
    <tableColumn id="10" xr3:uid="{7CE18AE4-2F0A-4BDA-90AE-D36F377D0D3C}" name="Sales Person" dataDxfId="51"/>
    <tableColumn id="11" xr3:uid="{F47D4CB0-088C-4D21-BCA3-7D3E8767DDC5}" name="Payment Mode" dataDxfId="50"/>
    <tableColumn id="12" xr3:uid="{2F177020-8F5E-49E0-A9E5-FFBAFFBA1F22}" name="Status" dataDxfId="49"/>
    <tableColumn id="14" xr3:uid="{A0FE454B-FBBD-475D-A68A-4B07BFD08963}" name="Sales" dataDxfId="48"/>
    <tableColumn id="20" xr3:uid="{8CAAE6A8-19FE-4836-8CD6-042FDAA47B78}" name="Product-City" dataDxfId="4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2189388-04FB-425A-8C8A-C8A2DFE4C4D3}" name="Table3511" displayName="Table3511" ref="A1:M17" totalsRowCount="1" headerRowDxfId="43" dataDxfId="42">
  <autoFilter ref="A1:M16" xr:uid="{02189388-04FB-425A-8C8A-C8A2DFE4C4D3}"/>
  <sortState xmlns:xlrd2="http://schemas.microsoft.com/office/spreadsheetml/2017/richdata2" ref="A2:M16">
    <sortCondition ref="D1:D16"/>
  </sortState>
  <tableColumns count="13">
    <tableColumn id="1" xr3:uid="{AE202408-01E4-456B-821D-E74136A92497}" name="Order ID" totalsRowFunction="custom" dataDxfId="41" totalsRowDxfId="28">
      <totalsRowFormula>COUNTA(Table3511[Order ID])</totalsRowFormula>
    </tableColumn>
    <tableColumn id="2" xr3:uid="{1D50D5E5-8E8D-481A-9ED3-DBE5467F0C88}" name="Order Date" dataDxfId="40" totalsRowDxfId="27"/>
    <tableColumn id="3" xr3:uid="{24E23F12-1D5E-4F66-97A0-88C51472F8E8}" name="Customer Name" dataDxfId="39" totalsRowDxfId="26"/>
    <tableColumn id="4" xr3:uid="{7A0AF29D-65D0-4889-8B3C-7E5FDDCAD62C}" name="Product" dataDxfId="38" totalsRowDxfId="25"/>
    <tableColumn id="5" xr3:uid="{D6CD1DA2-BE3E-45FD-84AE-66DCF6C34BFD}" name="Category" dataDxfId="37" totalsRowDxfId="24"/>
    <tableColumn id="6" xr3:uid="{C685C9D9-9BE8-4585-8923-417E26558C92}" name="City" dataDxfId="36" totalsRowDxfId="23"/>
    <tableColumn id="7" xr3:uid="{60488C51-478D-405A-AFF5-CC726F25E3CD}" name="Quantity" dataDxfId="35" totalsRowDxfId="22"/>
    <tableColumn id="8" xr3:uid="{F1345C4C-94CA-4BB8-87A4-1E3085258EC2}" name="Unit Price" dataDxfId="34" totalsRowDxfId="21"/>
    <tableColumn id="9" xr3:uid="{053F00AD-EB44-46B0-8315-5C1A4FF8DFB3}" name="Discount %" dataDxfId="33" totalsRowDxfId="20"/>
    <tableColumn id="10" xr3:uid="{94255A60-7E11-4F69-901D-A6AFD7716CC2}" name="Sales Person" dataDxfId="32" totalsRowDxfId="19"/>
    <tableColumn id="11" xr3:uid="{0D5BC290-938B-43A4-A4B3-C788591393D7}" name="Payment Mode" dataDxfId="31" totalsRowDxfId="18"/>
    <tableColumn id="12" xr3:uid="{CC8F2A18-7A2A-46F6-9A6A-3C553E0FFD83}" name="Status" dataDxfId="30" totalsRowDxfId="17"/>
    <tableColumn id="14" xr3:uid="{FA4F30AA-C81F-4F79-A9FC-0E6425A6CC18}" name="Sales" totalsRowFunction="custom" dataDxfId="29" totalsRowDxfId="16">
      <totalsRowFormula>SUM(Table3511[Sales])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52B5-B465-4B54-8A96-9AEC6FE9AE3E}">
  <dimension ref="A1:Y18"/>
  <sheetViews>
    <sheetView zoomScale="91" zoomScaleNormal="60" workbookViewId="0">
      <selection activeCell="H18" sqref="H18"/>
    </sheetView>
  </sheetViews>
  <sheetFormatPr defaultRowHeight="14.4" x14ac:dyDescent="0.3"/>
  <cols>
    <col min="1" max="1" width="9.88671875" customWidth="1"/>
    <col min="2" max="2" width="14.44140625" customWidth="1"/>
    <col min="3" max="3" width="16.44140625" customWidth="1"/>
    <col min="4" max="4" width="9.5546875" customWidth="1"/>
    <col min="5" max="5" width="15.77734375" customWidth="1"/>
    <col min="6" max="6" width="10.5546875" customWidth="1"/>
    <col min="7" max="7" width="10.21875" customWidth="1"/>
    <col min="8" max="8" width="11" customWidth="1"/>
    <col min="9" max="9" width="12.109375" customWidth="1"/>
    <col min="10" max="10" width="13.33203125" customWidth="1"/>
    <col min="11" max="11" width="15.88671875" customWidth="1"/>
  </cols>
  <sheetData>
    <row r="1" spans="1:25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</row>
    <row r="2" spans="1:25" x14ac:dyDescent="0.3">
      <c r="A2" s="4" t="s">
        <v>12</v>
      </c>
      <c r="B2" s="5">
        <v>46204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2</v>
      </c>
      <c r="H2" s="2">
        <v>55000</v>
      </c>
      <c r="I2" s="2">
        <v>10</v>
      </c>
      <c r="J2" s="4" t="s">
        <v>17</v>
      </c>
      <c r="K2" s="4" t="s">
        <v>18</v>
      </c>
      <c r="L2" s="4" t="s">
        <v>56</v>
      </c>
    </row>
    <row r="3" spans="1:25" x14ac:dyDescent="0.3">
      <c r="A3" s="4" t="s">
        <v>20</v>
      </c>
      <c r="B3" s="5">
        <v>46205</v>
      </c>
      <c r="C3" s="4" t="s">
        <v>21</v>
      </c>
      <c r="D3" s="4" t="s">
        <v>22</v>
      </c>
      <c r="E3" s="4" t="s">
        <v>15</v>
      </c>
      <c r="F3" s="4" t="s">
        <v>23</v>
      </c>
      <c r="G3" s="4">
        <v>5</v>
      </c>
      <c r="H3" s="2">
        <v>500</v>
      </c>
      <c r="I3" s="2">
        <v>5</v>
      </c>
      <c r="J3" s="4" t="s">
        <v>24</v>
      </c>
      <c r="K3" s="4" t="s">
        <v>25</v>
      </c>
      <c r="L3" s="4" t="s">
        <v>56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3">
      <c r="A4" s="4" t="s">
        <v>26</v>
      </c>
      <c r="B4" s="5">
        <v>46206</v>
      </c>
      <c r="C4" s="4" t="s">
        <v>27</v>
      </c>
      <c r="D4" s="4" t="s">
        <v>28</v>
      </c>
      <c r="E4" s="4" t="s">
        <v>15</v>
      </c>
      <c r="F4" s="4" t="s">
        <v>16</v>
      </c>
      <c r="G4" s="4">
        <v>3</v>
      </c>
      <c r="H4" s="2">
        <v>1200</v>
      </c>
      <c r="I4" s="2">
        <v>0</v>
      </c>
      <c r="J4" s="4" t="s">
        <v>17</v>
      </c>
      <c r="K4" s="4" t="s">
        <v>29</v>
      </c>
      <c r="L4" s="4" t="s">
        <v>30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3">
      <c r="A5" s="4" t="s">
        <v>31</v>
      </c>
      <c r="B5" s="5">
        <v>46207</v>
      </c>
      <c r="C5" s="4" t="s">
        <v>32</v>
      </c>
      <c r="D5" s="4" t="s">
        <v>33</v>
      </c>
      <c r="E5" s="4" t="s">
        <v>34</v>
      </c>
      <c r="F5" s="4" t="s">
        <v>35</v>
      </c>
      <c r="G5" s="4">
        <v>4</v>
      </c>
      <c r="H5" s="2">
        <v>3500</v>
      </c>
      <c r="I5" s="2">
        <v>15</v>
      </c>
      <c r="J5" s="4" t="s">
        <v>36</v>
      </c>
      <c r="K5" s="4" t="s">
        <v>18</v>
      </c>
      <c r="L5" s="4" t="s">
        <v>19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3">
      <c r="A6" s="4" t="s">
        <v>37</v>
      </c>
      <c r="B6" s="5">
        <v>46208</v>
      </c>
      <c r="C6" s="4" t="s">
        <v>13</v>
      </c>
      <c r="D6" s="4" t="s">
        <v>38</v>
      </c>
      <c r="E6" s="4" t="s">
        <v>34</v>
      </c>
      <c r="F6" s="4" t="s">
        <v>23</v>
      </c>
      <c r="G6" s="4">
        <v>2</v>
      </c>
      <c r="H6" s="2">
        <v>8000</v>
      </c>
      <c r="I6" s="2">
        <v>10</v>
      </c>
      <c r="J6" s="4" t="s">
        <v>24</v>
      </c>
      <c r="K6" s="4" t="s">
        <v>29</v>
      </c>
      <c r="L6" s="4" t="s">
        <v>39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3">
      <c r="A7" s="4" t="s">
        <v>40</v>
      </c>
      <c r="B7" s="5">
        <v>46209</v>
      </c>
      <c r="C7" s="4" t="s">
        <v>41</v>
      </c>
      <c r="D7" s="4" t="s">
        <v>14</v>
      </c>
      <c r="E7" s="4" t="s">
        <v>15</v>
      </c>
      <c r="F7" s="4" t="s">
        <v>16</v>
      </c>
      <c r="G7" s="4">
        <v>1</v>
      </c>
      <c r="H7" s="2">
        <v>55000</v>
      </c>
      <c r="I7" s="2">
        <v>5</v>
      </c>
      <c r="J7" s="4" t="s">
        <v>17</v>
      </c>
      <c r="K7" s="4" t="s">
        <v>25</v>
      </c>
      <c r="L7" s="4" t="s">
        <v>19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3">
      <c r="A8" s="4" t="s">
        <v>42</v>
      </c>
      <c r="B8" s="5">
        <v>46210</v>
      </c>
      <c r="C8" s="4" t="s">
        <v>43</v>
      </c>
      <c r="D8" s="4" t="s">
        <v>44</v>
      </c>
      <c r="E8" s="4" t="s">
        <v>15</v>
      </c>
      <c r="F8" s="4" t="s">
        <v>45</v>
      </c>
      <c r="G8" s="4">
        <v>2</v>
      </c>
      <c r="H8" s="2">
        <v>15000</v>
      </c>
      <c r="I8" s="2">
        <v>10</v>
      </c>
      <c r="J8" s="4" t="s">
        <v>36</v>
      </c>
      <c r="K8" s="4" t="s">
        <v>18</v>
      </c>
      <c r="L8" s="4" t="s">
        <v>19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4" t="s">
        <v>46</v>
      </c>
      <c r="B9" s="5">
        <v>46211</v>
      </c>
      <c r="C9" s="6" t="s">
        <v>47</v>
      </c>
      <c r="D9" s="4" t="s">
        <v>48</v>
      </c>
      <c r="E9" s="4" t="s">
        <v>15</v>
      </c>
      <c r="F9" s="4" t="s">
        <v>49</v>
      </c>
      <c r="G9" s="4">
        <v>1</v>
      </c>
      <c r="H9" s="2">
        <v>9000</v>
      </c>
      <c r="I9" s="2">
        <v>5</v>
      </c>
      <c r="J9" s="4" t="s">
        <v>17</v>
      </c>
      <c r="K9" s="4" t="s">
        <v>29</v>
      </c>
      <c r="L9" s="4" t="s">
        <v>30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4" t="s">
        <v>50</v>
      </c>
      <c r="B10" s="5">
        <v>46212</v>
      </c>
      <c r="C10" s="4" t="s">
        <v>51</v>
      </c>
      <c r="D10" s="4" t="s">
        <v>14</v>
      </c>
      <c r="E10" s="4" t="s">
        <v>15</v>
      </c>
      <c r="F10" s="4" t="s">
        <v>16</v>
      </c>
      <c r="G10" s="6"/>
      <c r="H10" s="2">
        <v>55000</v>
      </c>
      <c r="I10" s="2">
        <v>0</v>
      </c>
      <c r="J10" s="4" t="s">
        <v>24</v>
      </c>
      <c r="K10" s="4" t="s">
        <v>18</v>
      </c>
      <c r="L10" s="4" t="s">
        <v>19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4" t="s">
        <v>52</v>
      </c>
      <c r="B11" s="5">
        <v>46213</v>
      </c>
      <c r="C11" s="4" t="s">
        <v>53</v>
      </c>
      <c r="D11" s="4" t="s">
        <v>22</v>
      </c>
      <c r="E11" s="4" t="s">
        <v>15</v>
      </c>
      <c r="F11" s="4" t="s">
        <v>23</v>
      </c>
      <c r="G11" s="4">
        <v>6</v>
      </c>
      <c r="H11" s="2">
        <v>500</v>
      </c>
      <c r="I11" s="2">
        <v>10</v>
      </c>
      <c r="J11" s="4" t="s">
        <v>36</v>
      </c>
      <c r="K11" s="4" t="s">
        <v>25</v>
      </c>
      <c r="L11" s="4" t="s">
        <v>19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4" t="s">
        <v>54</v>
      </c>
      <c r="B12" s="5">
        <v>46214</v>
      </c>
      <c r="C12" s="4" t="s">
        <v>13</v>
      </c>
      <c r="D12" s="4" t="s">
        <v>33</v>
      </c>
      <c r="E12" s="4" t="s">
        <v>34</v>
      </c>
      <c r="F12" s="4" t="s">
        <v>16</v>
      </c>
      <c r="G12" s="4">
        <v>3</v>
      </c>
      <c r="H12" s="2">
        <v>3500</v>
      </c>
      <c r="I12" s="2">
        <v>5</v>
      </c>
      <c r="J12" s="4" t="s">
        <v>17</v>
      </c>
      <c r="K12" s="4" t="s">
        <v>29</v>
      </c>
      <c r="L12" s="4" t="s">
        <v>19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4" t="s">
        <v>55</v>
      </c>
      <c r="B13" s="5">
        <v>46215</v>
      </c>
      <c r="C13" s="4" t="s">
        <v>27</v>
      </c>
      <c r="D13" s="4" t="s">
        <v>38</v>
      </c>
      <c r="E13" s="4" t="s">
        <v>34</v>
      </c>
      <c r="F13" s="4" t="s">
        <v>35</v>
      </c>
      <c r="G13" s="4">
        <v>2</v>
      </c>
      <c r="H13" s="2">
        <v>8000</v>
      </c>
      <c r="I13" s="2">
        <v>0</v>
      </c>
      <c r="J13" s="4" t="s">
        <v>24</v>
      </c>
      <c r="K13" s="4" t="s">
        <v>18</v>
      </c>
      <c r="L13" s="4" t="s">
        <v>56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4" t="s">
        <v>57</v>
      </c>
      <c r="B14" s="5">
        <v>46216</v>
      </c>
      <c r="C14" s="4" t="s">
        <v>32</v>
      </c>
      <c r="D14" s="4" t="s">
        <v>28</v>
      </c>
      <c r="E14" s="4" t="s">
        <v>15</v>
      </c>
      <c r="F14" s="4" t="s">
        <v>49</v>
      </c>
      <c r="G14" s="4">
        <v>4</v>
      </c>
      <c r="H14" s="2">
        <v>1200</v>
      </c>
      <c r="I14" s="2">
        <v>10</v>
      </c>
      <c r="J14" s="4" t="s">
        <v>17</v>
      </c>
      <c r="K14" s="4" t="s">
        <v>25</v>
      </c>
      <c r="L14" s="4" t="s">
        <v>19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4" t="s">
        <v>58</v>
      </c>
      <c r="B15" s="5">
        <v>46217</v>
      </c>
      <c r="C15" s="4" t="s">
        <v>41</v>
      </c>
      <c r="D15" s="4" t="s">
        <v>48</v>
      </c>
      <c r="E15" s="4" t="s">
        <v>15</v>
      </c>
      <c r="F15" s="4" t="s">
        <v>16</v>
      </c>
      <c r="G15" s="4">
        <v>2</v>
      </c>
      <c r="H15" s="2">
        <v>9000</v>
      </c>
      <c r="I15" s="2">
        <v>15</v>
      </c>
      <c r="J15" s="4" t="s">
        <v>36</v>
      </c>
      <c r="K15" s="4" t="s">
        <v>18</v>
      </c>
      <c r="L15" s="4" t="s">
        <v>19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3">
      <c r="A16" s="4" t="s">
        <v>59</v>
      </c>
      <c r="B16" s="5">
        <v>46218</v>
      </c>
      <c r="C16" s="4" t="s">
        <v>21</v>
      </c>
      <c r="D16" s="4" t="s">
        <v>14</v>
      </c>
      <c r="E16" s="4" t="s">
        <v>15</v>
      </c>
      <c r="F16" s="4" t="s">
        <v>23</v>
      </c>
      <c r="G16" s="4">
        <v>1</v>
      </c>
      <c r="H16" s="2">
        <v>55000</v>
      </c>
      <c r="I16" s="2">
        <v>5</v>
      </c>
      <c r="J16" s="4" t="s">
        <v>17</v>
      </c>
      <c r="K16" s="4" t="s">
        <v>29</v>
      </c>
      <c r="L16" s="4" t="s">
        <v>19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4:25" x14ac:dyDescent="0.3"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4:25" x14ac:dyDescent="0.3"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</sheetData>
  <dataValidations count="4">
    <dataValidation type="list" allowBlank="1" showInputMessage="1" showErrorMessage="1" sqref="L2:L16" xr:uid="{37AFDD4E-2B78-44F5-AFDC-ABE122CB6E2B}">
      <formula1>"Delivered,Pending,Returned,Cancelled"</formula1>
    </dataValidation>
    <dataValidation type="whole" allowBlank="1" showInputMessage="1" showErrorMessage="1" errorTitle="Invaild Quantity" error="Quantity Range between 1 to 20" sqref="G2:G16" xr:uid="{10DEA07D-0314-4CF2-848A-6534F1F34F7D}">
      <formula1>1</formula1>
      <formula2>20</formula2>
    </dataValidation>
    <dataValidation type="date" allowBlank="1" showInputMessage="1" showErrorMessage="1" sqref="B2:B16" xr:uid="{7F5B9778-8652-4EC9-88FE-87E27C430342}">
      <formula1>46204</formula1>
      <formula2>46234</formula2>
    </dataValidation>
    <dataValidation type="whole" allowBlank="1" showInputMessage="1" showErrorMessage="1" sqref="I2:I16" xr:uid="{8D5C3E29-5E3F-4DE2-8F94-8C0EAF7A2891}">
      <formula1>0</formula1>
      <formula2>30</formula2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91DE-A4C4-4316-A7D8-663B14729247}">
  <dimension ref="A1:M16"/>
  <sheetViews>
    <sheetView zoomScale="80" workbookViewId="0">
      <selection sqref="A1:M1048576"/>
    </sheetView>
  </sheetViews>
  <sheetFormatPr defaultRowHeight="14.4" x14ac:dyDescent="0.3"/>
  <cols>
    <col min="1" max="1" width="9.88671875" customWidth="1"/>
    <col min="2" max="2" width="13.33203125" customWidth="1"/>
    <col min="3" max="3" width="16.44140625" customWidth="1"/>
    <col min="4" max="4" width="14.44140625" customWidth="1"/>
    <col min="5" max="5" width="12.5546875" customWidth="1"/>
    <col min="6" max="6" width="12.44140625" customWidth="1"/>
    <col min="7" max="7" width="10.21875" customWidth="1"/>
    <col min="8" max="8" width="11" customWidth="1"/>
    <col min="9" max="9" width="12.109375" customWidth="1"/>
    <col min="10" max="10" width="13.33203125" customWidth="1"/>
    <col min="11" max="11" width="15.88671875" customWidth="1"/>
    <col min="12" max="12" width="14.6640625" customWidth="1"/>
  </cols>
  <sheetData>
    <row r="1" spans="1:13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60</v>
      </c>
    </row>
    <row r="2" spans="1:13" x14ac:dyDescent="0.3">
      <c r="A2" s="4" t="s">
        <v>12</v>
      </c>
      <c r="B2" s="5">
        <v>46204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2</v>
      </c>
      <c r="H2" s="2">
        <v>55000</v>
      </c>
      <c r="I2" s="2">
        <v>10</v>
      </c>
      <c r="J2" s="4" t="s">
        <v>17</v>
      </c>
      <c r="K2" s="4" t="s">
        <v>18</v>
      </c>
      <c r="L2" s="4" t="s">
        <v>19</v>
      </c>
      <c r="M2" s="4">
        <v>110000</v>
      </c>
    </row>
    <row r="3" spans="1:13" x14ac:dyDescent="0.3">
      <c r="A3" s="4" t="s">
        <v>20</v>
      </c>
      <c r="B3" s="5">
        <v>46205</v>
      </c>
      <c r="C3" s="4" t="s">
        <v>21</v>
      </c>
      <c r="D3" s="4" t="s">
        <v>22</v>
      </c>
      <c r="E3" s="4" t="s">
        <v>15</v>
      </c>
      <c r="F3" s="4" t="s">
        <v>23</v>
      </c>
      <c r="G3" s="4">
        <v>5</v>
      </c>
      <c r="H3" s="2">
        <v>500</v>
      </c>
      <c r="I3" s="2">
        <v>5</v>
      </c>
      <c r="J3" s="4" t="s">
        <v>24</v>
      </c>
      <c r="K3" s="4" t="s">
        <v>25</v>
      </c>
      <c r="L3" s="4" t="s">
        <v>19</v>
      </c>
      <c r="M3" s="4">
        <v>2500</v>
      </c>
    </row>
    <row r="4" spans="1:13" x14ac:dyDescent="0.3">
      <c r="A4" s="4" t="s">
        <v>26</v>
      </c>
      <c r="B4" s="5">
        <v>46206</v>
      </c>
      <c r="C4" s="4" t="s">
        <v>27</v>
      </c>
      <c r="D4" s="4" t="s">
        <v>28</v>
      </c>
      <c r="E4" s="4" t="s">
        <v>15</v>
      </c>
      <c r="F4" s="4" t="s">
        <v>16</v>
      </c>
      <c r="G4" s="4">
        <v>3</v>
      </c>
      <c r="H4" s="2">
        <v>1200</v>
      </c>
      <c r="I4" s="2">
        <v>0</v>
      </c>
      <c r="J4" s="4" t="s">
        <v>17</v>
      </c>
      <c r="K4" s="4" t="s">
        <v>29</v>
      </c>
      <c r="L4" s="4" t="s">
        <v>30</v>
      </c>
      <c r="M4" s="4">
        <v>3600</v>
      </c>
    </row>
    <row r="5" spans="1:13" x14ac:dyDescent="0.3">
      <c r="A5" s="4" t="s">
        <v>31</v>
      </c>
      <c r="B5" s="5">
        <v>46207</v>
      </c>
      <c r="C5" s="4" t="s">
        <v>32</v>
      </c>
      <c r="D5" s="4" t="s">
        <v>33</v>
      </c>
      <c r="E5" s="4" t="s">
        <v>34</v>
      </c>
      <c r="F5" s="4" t="s">
        <v>35</v>
      </c>
      <c r="G5" s="4">
        <v>4</v>
      </c>
      <c r="H5" s="2">
        <v>3500</v>
      </c>
      <c r="I5" s="2">
        <v>15</v>
      </c>
      <c r="J5" s="4" t="s">
        <v>36</v>
      </c>
      <c r="K5" s="4" t="s">
        <v>18</v>
      </c>
      <c r="L5" s="4" t="s">
        <v>19</v>
      </c>
      <c r="M5" s="4">
        <v>14000</v>
      </c>
    </row>
    <row r="6" spans="1:13" x14ac:dyDescent="0.3">
      <c r="A6" s="4" t="s">
        <v>37</v>
      </c>
      <c r="B6" s="5">
        <v>46208</v>
      </c>
      <c r="C6" s="4" t="s">
        <v>13</v>
      </c>
      <c r="D6" s="4" t="s">
        <v>38</v>
      </c>
      <c r="E6" s="4" t="s">
        <v>34</v>
      </c>
      <c r="F6" s="4" t="s">
        <v>23</v>
      </c>
      <c r="G6" s="4">
        <v>2</v>
      </c>
      <c r="H6" s="2">
        <v>8000</v>
      </c>
      <c r="I6" s="2">
        <v>10</v>
      </c>
      <c r="J6" s="4" t="s">
        <v>24</v>
      </c>
      <c r="K6" s="4" t="s">
        <v>29</v>
      </c>
      <c r="L6" s="4" t="s">
        <v>39</v>
      </c>
      <c r="M6" s="4">
        <v>16000</v>
      </c>
    </row>
    <row r="7" spans="1:13" x14ac:dyDescent="0.3">
      <c r="A7" s="4" t="s">
        <v>40</v>
      </c>
      <c r="B7" s="5">
        <v>46209</v>
      </c>
      <c r="C7" s="4" t="s">
        <v>41</v>
      </c>
      <c r="D7" s="4" t="s">
        <v>14</v>
      </c>
      <c r="E7" s="4" t="s">
        <v>15</v>
      </c>
      <c r="F7" s="4" t="s">
        <v>16</v>
      </c>
      <c r="G7" s="4">
        <v>1</v>
      </c>
      <c r="H7" s="2">
        <v>55000</v>
      </c>
      <c r="I7" s="2">
        <v>5</v>
      </c>
      <c r="J7" s="4" t="s">
        <v>17</v>
      </c>
      <c r="K7" s="4" t="s">
        <v>25</v>
      </c>
      <c r="L7" s="4" t="s">
        <v>19</v>
      </c>
      <c r="M7" s="4">
        <v>55000</v>
      </c>
    </row>
    <row r="8" spans="1:13" x14ac:dyDescent="0.3">
      <c r="A8" s="4" t="s">
        <v>42</v>
      </c>
      <c r="B8" s="5">
        <v>46210</v>
      </c>
      <c r="C8" s="4" t="s">
        <v>43</v>
      </c>
      <c r="D8" s="4" t="s">
        <v>44</v>
      </c>
      <c r="E8" s="4" t="s">
        <v>15</v>
      </c>
      <c r="F8" s="4" t="s">
        <v>45</v>
      </c>
      <c r="G8" s="4">
        <v>2</v>
      </c>
      <c r="H8" s="2">
        <v>15000</v>
      </c>
      <c r="I8" s="2">
        <v>10</v>
      </c>
      <c r="J8" s="4" t="s">
        <v>36</v>
      </c>
      <c r="K8" s="4" t="s">
        <v>18</v>
      </c>
      <c r="L8" s="4" t="s">
        <v>19</v>
      </c>
      <c r="M8" s="4">
        <v>30000</v>
      </c>
    </row>
    <row r="9" spans="1:13" x14ac:dyDescent="0.3">
      <c r="A9" s="4" t="s">
        <v>46</v>
      </c>
      <c r="B9" s="5">
        <v>46211</v>
      </c>
      <c r="C9" s="6"/>
      <c r="D9" s="4" t="s">
        <v>48</v>
      </c>
      <c r="E9" s="4" t="s">
        <v>15</v>
      </c>
      <c r="F9" s="4" t="s">
        <v>49</v>
      </c>
      <c r="G9" s="4">
        <v>1</v>
      </c>
      <c r="H9" s="2">
        <v>9000</v>
      </c>
      <c r="I9" s="2">
        <v>5</v>
      </c>
      <c r="J9" s="4" t="s">
        <v>17</v>
      </c>
      <c r="K9" s="4" t="s">
        <v>29</v>
      </c>
      <c r="L9" s="4" t="s">
        <v>30</v>
      </c>
      <c r="M9" s="4">
        <v>9000</v>
      </c>
    </row>
    <row r="10" spans="1:13" x14ac:dyDescent="0.3">
      <c r="A10" s="4" t="s">
        <v>50</v>
      </c>
      <c r="B10" s="5">
        <v>46212</v>
      </c>
      <c r="C10" s="4" t="s">
        <v>51</v>
      </c>
      <c r="D10" s="4" t="s">
        <v>14</v>
      </c>
      <c r="E10" s="4" t="s">
        <v>15</v>
      </c>
      <c r="F10" s="4" t="s">
        <v>16</v>
      </c>
      <c r="G10" s="6"/>
      <c r="H10" s="2">
        <v>55000</v>
      </c>
      <c r="I10" s="2">
        <v>0</v>
      </c>
      <c r="J10" s="4" t="s">
        <v>24</v>
      </c>
      <c r="K10" s="4" t="s">
        <v>18</v>
      </c>
      <c r="L10" s="4" t="s">
        <v>19</v>
      </c>
      <c r="M10" s="6"/>
    </row>
    <row r="11" spans="1:13" x14ac:dyDescent="0.3">
      <c r="A11" s="4" t="s">
        <v>52</v>
      </c>
      <c r="B11" s="5">
        <v>46213</v>
      </c>
      <c r="C11" s="4" t="s">
        <v>53</v>
      </c>
      <c r="D11" s="4" t="s">
        <v>22</v>
      </c>
      <c r="E11" s="4" t="s">
        <v>15</v>
      </c>
      <c r="F11" s="4" t="s">
        <v>23</v>
      </c>
      <c r="G11" s="4">
        <v>6</v>
      </c>
      <c r="H11" s="2">
        <v>500</v>
      </c>
      <c r="I11" s="2">
        <v>10</v>
      </c>
      <c r="J11" s="4" t="s">
        <v>36</v>
      </c>
      <c r="K11" s="4" t="s">
        <v>25</v>
      </c>
      <c r="L11" s="4" t="s">
        <v>19</v>
      </c>
      <c r="M11" s="4">
        <v>3000</v>
      </c>
    </row>
    <row r="12" spans="1:13" x14ac:dyDescent="0.3">
      <c r="A12" s="4" t="s">
        <v>54</v>
      </c>
      <c r="B12" s="5">
        <v>46214</v>
      </c>
      <c r="C12" s="4" t="s">
        <v>13</v>
      </c>
      <c r="D12" s="4" t="s">
        <v>33</v>
      </c>
      <c r="E12" s="4" t="s">
        <v>34</v>
      </c>
      <c r="F12" s="4" t="s">
        <v>16</v>
      </c>
      <c r="G12" s="4">
        <v>3</v>
      </c>
      <c r="H12" s="2">
        <v>3500</v>
      </c>
      <c r="I12" s="2">
        <v>5</v>
      </c>
      <c r="J12" s="4" t="s">
        <v>17</v>
      </c>
      <c r="K12" s="4" t="s">
        <v>29</v>
      </c>
      <c r="L12" s="4" t="s">
        <v>19</v>
      </c>
      <c r="M12" s="4">
        <v>10500</v>
      </c>
    </row>
    <row r="13" spans="1:13" x14ac:dyDescent="0.3">
      <c r="A13" s="4" t="s">
        <v>55</v>
      </c>
      <c r="B13" s="5">
        <v>46215</v>
      </c>
      <c r="C13" s="4" t="s">
        <v>27</v>
      </c>
      <c r="D13" s="4" t="s">
        <v>38</v>
      </c>
      <c r="E13" s="4" t="s">
        <v>34</v>
      </c>
      <c r="F13" s="4" t="s">
        <v>35</v>
      </c>
      <c r="G13" s="4">
        <v>2</v>
      </c>
      <c r="H13" s="2">
        <v>8000</v>
      </c>
      <c r="I13" s="2">
        <v>0</v>
      </c>
      <c r="J13" s="4" t="s">
        <v>24</v>
      </c>
      <c r="K13" s="4" t="s">
        <v>18</v>
      </c>
      <c r="L13" s="4" t="s">
        <v>56</v>
      </c>
      <c r="M13" s="4">
        <v>16000</v>
      </c>
    </row>
    <row r="14" spans="1:13" x14ac:dyDescent="0.3">
      <c r="A14" s="4" t="s">
        <v>57</v>
      </c>
      <c r="B14" s="5">
        <v>46216</v>
      </c>
      <c r="C14" s="4" t="s">
        <v>32</v>
      </c>
      <c r="D14" s="4" t="s">
        <v>28</v>
      </c>
      <c r="E14" s="4" t="s">
        <v>15</v>
      </c>
      <c r="F14" s="4" t="s">
        <v>49</v>
      </c>
      <c r="G14" s="4">
        <v>4</v>
      </c>
      <c r="H14" s="2">
        <v>1200</v>
      </c>
      <c r="I14" s="2">
        <v>10</v>
      </c>
      <c r="J14" s="4" t="s">
        <v>17</v>
      </c>
      <c r="K14" s="4" t="s">
        <v>25</v>
      </c>
      <c r="L14" s="4" t="s">
        <v>19</v>
      </c>
      <c r="M14" s="4">
        <v>4800</v>
      </c>
    </row>
    <row r="15" spans="1:13" x14ac:dyDescent="0.3">
      <c r="A15" s="4" t="s">
        <v>58</v>
      </c>
      <c r="B15" s="5">
        <v>46217</v>
      </c>
      <c r="C15" s="4" t="s">
        <v>41</v>
      </c>
      <c r="D15" s="4" t="s">
        <v>48</v>
      </c>
      <c r="E15" s="4" t="s">
        <v>15</v>
      </c>
      <c r="F15" s="4" t="s">
        <v>16</v>
      </c>
      <c r="G15" s="4">
        <v>2</v>
      </c>
      <c r="H15" s="2">
        <v>9000</v>
      </c>
      <c r="I15" s="2">
        <v>15</v>
      </c>
      <c r="J15" s="4" t="s">
        <v>36</v>
      </c>
      <c r="K15" s="4" t="s">
        <v>18</v>
      </c>
      <c r="L15" s="4" t="s">
        <v>30</v>
      </c>
      <c r="M15" s="4">
        <v>18000</v>
      </c>
    </row>
    <row r="16" spans="1:13" x14ac:dyDescent="0.3">
      <c r="A16" s="4" t="s">
        <v>59</v>
      </c>
      <c r="B16" s="5">
        <v>46218</v>
      </c>
      <c r="C16" s="4" t="s">
        <v>21</v>
      </c>
      <c r="D16" s="4" t="s">
        <v>14</v>
      </c>
      <c r="E16" s="4" t="s">
        <v>15</v>
      </c>
      <c r="F16" s="4" t="s">
        <v>23</v>
      </c>
      <c r="G16" s="4">
        <v>1</v>
      </c>
      <c r="H16" s="2">
        <v>55000</v>
      </c>
      <c r="I16" s="2">
        <v>5</v>
      </c>
      <c r="J16" s="4" t="s">
        <v>17</v>
      </c>
      <c r="K16" s="4" t="s">
        <v>29</v>
      </c>
      <c r="L16" s="4" t="s">
        <v>19</v>
      </c>
      <c r="M16" s="4">
        <v>55000</v>
      </c>
    </row>
  </sheetData>
  <conditionalFormatting sqref="L2:L16">
    <cfRule type="containsText" dxfId="15" priority="11" operator="containsText" text="Pending">
      <formula>NOT(ISERROR(SEARCH("Pending",L2)))</formula>
    </cfRule>
  </conditionalFormatting>
  <conditionalFormatting sqref="M2:M16">
    <cfRule type="colorScale" priority="1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" priority="5" bottom="1" rank="5"/>
    <cfRule type="top10" dxfId="13" priority="6" rank="5"/>
    <cfRule type="cellIs" dxfId="12" priority="10" operator="greaterThan">
      <formula>50000</formula>
    </cfRule>
  </conditionalFormatting>
  <conditionalFormatting sqref="C2:C16">
    <cfRule type="duplicateValues" dxfId="11" priority="9"/>
  </conditionalFormatting>
  <conditionalFormatting sqref="A2:M16">
    <cfRule type="containsBlanks" dxfId="10" priority="8">
      <formula>LEN(TRIM(A2))=0</formula>
    </cfRule>
  </conditionalFormatting>
  <conditionalFormatting sqref="I2:I16">
    <cfRule type="cellIs" dxfId="9" priority="7" operator="greaterThan">
      <formula>10</formula>
    </cfRule>
  </conditionalFormatting>
  <conditionalFormatting sqref="B2:B16">
    <cfRule type="expression" dxfId="8" priority="4">
      <formula>WEEKDAY(B2,2)=7</formula>
    </cfRule>
  </conditionalFormatting>
  <conditionalFormatting sqref="G2:G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{1856A225-16A3-4BDF-8B76-E70B46BD73D8}</x14:id>
        </ext>
      </extLs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56A225-16A3-4BDF-8B76-E70B46BD73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E94F-9EA4-4C37-9813-F4ABF9A5F71F}">
  <dimension ref="A1:M16"/>
  <sheetViews>
    <sheetView zoomScale="92" workbookViewId="0">
      <selection sqref="A1:M16"/>
    </sheetView>
  </sheetViews>
  <sheetFormatPr defaultRowHeight="14.4" x14ac:dyDescent="0.3"/>
  <cols>
    <col min="1" max="1" width="9.88671875" customWidth="1"/>
    <col min="2" max="2" width="13.33203125" customWidth="1"/>
    <col min="3" max="3" width="16.44140625" customWidth="1"/>
    <col min="4" max="4" width="14.44140625" customWidth="1"/>
    <col min="5" max="5" width="12.5546875" customWidth="1"/>
    <col min="6" max="6" width="12.44140625" customWidth="1"/>
    <col min="7" max="7" width="10.21875" customWidth="1"/>
    <col min="8" max="8" width="11" customWidth="1"/>
    <col min="9" max="9" width="12.109375" customWidth="1"/>
    <col min="10" max="10" width="13.33203125" customWidth="1"/>
    <col min="11" max="11" width="15.88671875" customWidth="1"/>
    <col min="12" max="12" width="14.6640625" customWidth="1"/>
  </cols>
  <sheetData>
    <row r="1" spans="1:13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60</v>
      </c>
    </row>
    <row r="2" spans="1:13" x14ac:dyDescent="0.3">
      <c r="A2" s="4" t="s">
        <v>31</v>
      </c>
      <c r="B2" s="5">
        <v>46207</v>
      </c>
      <c r="C2" s="4" t="s">
        <v>32</v>
      </c>
      <c r="D2" s="4" t="s">
        <v>33</v>
      </c>
      <c r="E2" s="4" t="s">
        <v>34</v>
      </c>
      <c r="F2" s="4" t="s">
        <v>35</v>
      </c>
      <c r="G2" s="4">
        <v>4</v>
      </c>
      <c r="H2" s="2">
        <v>3500</v>
      </c>
      <c r="I2" s="2">
        <v>15</v>
      </c>
      <c r="J2" s="4" t="s">
        <v>36</v>
      </c>
      <c r="K2" s="4" t="s">
        <v>18</v>
      </c>
      <c r="L2" s="4" t="s">
        <v>19</v>
      </c>
      <c r="M2" s="4">
        <v>14000</v>
      </c>
    </row>
    <row r="3" spans="1:13" x14ac:dyDescent="0.3">
      <c r="A3" s="4" t="s">
        <v>54</v>
      </c>
      <c r="B3" s="5">
        <v>46214</v>
      </c>
      <c r="C3" s="4" t="s">
        <v>13</v>
      </c>
      <c r="D3" s="4" t="s">
        <v>33</v>
      </c>
      <c r="E3" s="4" t="s">
        <v>34</v>
      </c>
      <c r="F3" s="4" t="s">
        <v>16</v>
      </c>
      <c r="G3" s="4">
        <v>3</v>
      </c>
      <c r="H3" s="2">
        <v>3500</v>
      </c>
      <c r="I3" s="2">
        <v>5</v>
      </c>
      <c r="J3" s="4" t="s">
        <v>17</v>
      </c>
      <c r="K3" s="4" t="s">
        <v>29</v>
      </c>
      <c r="L3" s="4" t="s">
        <v>19</v>
      </c>
      <c r="M3" s="4">
        <v>10500</v>
      </c>
    </row>
    <row r="4" spans="1:13" x14ac:dyDescent="0.3">
      <c r="A4" s="4" t="s">
        <v>57</v>
      </c>
      <c r="B4" s="5">
        <v>46216</v>
      </c>
      <c r="C4" s="4" t="s">
        <v>32</v>
      </c>
      <c r="D4" s="4" t="s">
        <v>28</v>
      </c>
      <c r="E4" s="4" t="s">
        <v>15</v>
      </c>
      <c r="F4" s="4" t="s">
        <v>49</v>
      </c>
      <c r="G4" s="4">
        <v>4</v>
      </c>
      <c r="H4" s="2">
        <v>1200</v>
      </c>
      <c r="I4" s="2">
        <v>10</v>
      </c>
      <c r="J4" s="4" t="s">
        <v>17</v>
      </c>
      <c r="K4" s="4" t="s">
        <v>25</v>
      </c>
      <c r="L4" s="4" t="s">
        <v>19</v>
      </c>
      <c r="M4" s="4">
        <v>4800</v>
      </c>
    </row>
    <row r="5" spans="1:13" x14ac:dyDescent="0.3">
      <c r="A5" s="4" t="s">
        <v>26</v>
      </c>
      <c r="B5" s="5">
        <v>46206</v>
      </c>
      <c r="C5" s="4" t="s">
        <v>27</v>
      </c>
      <c r="D5" s="4" t="s">
        <v>28</v>
      </c>
      <c r="E5" s="4" t="s">
        <v>15</v>
      </c>
      <c r="F5" s="4" t="s">
        <v>16</v>
      </c>
      <c r="G5" s="4">
        <v>3</v>
      </c>
      <c r="H5" s="2">
        <v>1200</v>
      </c>
      <c r="I5" s="2">
        <v>0</v>
      </c>
      <c r="J5" s="4" t="s">
        <v>17</v>
      </c>
      <c r="K5" s="4" t="s">
        <v>29</v>
      </c>
      <c r="L5" s="4" t="s">
        <v>30</v>
      </c>
      <c r="M5" s="4">
        <v>3600</v>
      </c>
    </row>
    <row r="6" spans="1:13" x14ac:dyDescent="0.3">
      <c r="A6" s="4" t="s">
        <v>12</v>
      </c>
      <c r="B6" s="5">
        <v>46204</v>
      </c>
      <c r="C6" s="4" t="s">
        <v>13</v>
      </c>
      <c r="D6" s="4" t="s">
        <v>14</v>
      </c>
      <c r="E6" s="4" t="s">
        <v>15</v>
      </c>
      <c r="F6" s="4" t="s">
        <v>16</v>
      </c>
      <c r="G6" s="4">
        <v>2</v>
      </c>
      <c r="H6" s="2">
        <v>55000</v>
      </c>
      <c r="I6" s="2">
        <v>10</v>
      </c>
      <c r="J6" s="4" t="s">
        <v>17</v>
      </c>
      <c r="K6" s="4" t="s">
        <v>18</v>
      </c>
      <c r="L6" s="4" t="s">
        <v>19</v>
      </c>
      <c r="M6" s="4">
        <v>110000</v>
      </c>
    </row>
    <row r="7" spans="1:13" x14ac:dyDescent="0.3">
      <c r="A7" s="4" t="s">
        <v>59</v>
      </c>
      <c r="B7" s="5">
        <v>46218</v>
      </c>
      <c r="C7" s="4" t="s">
        <v>21</v>
      </c>
      <c r="D7" s="4" t="s">
        <v>14</v>
      </c>
      <c r="E7" s="4" t="s">
        <v>15</v>
      </c>
      <c r="F7" s="4" t="s">
        <v>23</v>
      </c>
      <c r="G7" s="4">
        <v>1</v>
      </c>
      <c r="H7" s="2">
        <v>55000</v>
      </c>
      <c r="I7" s="2">
        <v>5</v>
      </c>
      <c r="J7" s="4" t="s">
        <v>17</v>
      </c>
      <c r="K7" s="4" t="s">
        <v>29</v>
      </c>
      <c r="L7" s="4" t="s">
        <v>19</v>
      </c>
      <c r="M7" s="4">
        <v>55000</v>
      </c>
    </row>
    <row r="8" spans="1:13" x14ac:dyDescent="0.3">
      <c r="A8" s="4" t="s">
        <v>40</v>
      </c>
      <c r="B8" s="5">
        <v>46209</v>
      </c>
      <c r="C8" s="4" t="s">
        <v>41</v>
      </c>
      <c r="D8" s="4" t="s">
        <v>14</v>
      </c>
      <c r="E8" s="4" t="s">
        <v>15</v>
      </c>
      <c r="F8" s="4" t="s">
        <v>16</v>
      </c>
      <c r="G8" s="4">
        <v>1</v>
      </c>
      <c r="H8" s="2">
        <v>55000</v>
      </c>
      <c r="I8" s="2">
        <v>5</v>
      </c>
      <c r="J8" s="4" t="s">
        <v>17</v>
      </c>
      <c r="K8" s="4" t="s">
        <v>25</v>
      </c>
      <c r="L8" s="4" t="s">
        <v>19</v>
      </c>
      <c r="M8" s="4">
        <v>55000</v>
      </c>
    </row>
    <row r="9" spans="1:13" x14ac:dyDescent="0.3">
      <c r="A9" s="4" t="s">
        <v>50</v>
      </c>
      <c r="B9" s="5">
        <v>46212</v>
      </c>
      <c r="C9" s="4" t="s">
        <v>51</v>
      </c>
      <c r="D9" s="4" t="s">
        <v>14</v>
      </c>
      <c r="E9" s="4" t="s">
        <v>15</v>
      </c>
      <c r="F9" s="4" t="s">
        <v>16</v>
      </c>
      <c r="G9" s="6"/>
      <c r="H9" s="2">
        <v>55000</v>
      </c>
      <c r="I9" s="2">
        <v>0</v>
      </c>
      <c r="J9" s="4" t="s">
        <v>24</v>
      </c>
      <c r="K9" s="4" t="s">
        <v>18</v>
      </c>
      <c r="L9" s="4" t="s">
        <v>19</v>
      </c>
      <c r="M9" s="6"/>
    </row>
    <row r="10" spans="1:13" x14ac:dyDescent="0.3">
      <c r="A10" s="4" t="s">
        <v>42</v>
      </c>
      <c r="B10" s="5">
        <v>46210</v>
      </c>
      <c r="C10" s="4" t="s">
        <v>43</v>
      </c>
      <c r="D10" s="4" t="s">
        <v>44</v>
      </c>
      <c r="E10" s="4" t="s">
        <v>15</v>
      </c>
      <c r="F10" s="4" t="s">
        <v>45</v>
      </c>
      <c r="G10" s="4">
        <v>2</v>
      </c>
      <c r="H10" s="2">
        <v>15000</v>
      </c>
      <c r="I10" s="2">
        <v>10</v>
      </c>
      <c r="J10" s="4" t="s">
        <v>36</v>
      </c>
      <c r="K10" s="4" t="s">
        <v>18</v>
      </c>
      <c r="L10" s="4" t="s">
        <v>19</v>
      </c>
      <c r="M10" s="4">
        <v>30000</v>
      </c>
    </row>
    <row r="11" spans="1:13" x14ac:dyDescent="0.3">
      <c r="A11" s="4" t="s">
        <v>52</v>
      </c>
      <c r="B11" s="5">
        <v>46213</v>
      </c>
      <c r="C11" s="4" t="s">
        <v>53</v>
      </c>
      <c r="D11" s="4" t="s">
        <v>22</v>
      </c>
      <c r="E11" s="4" t="s">
        <v>15</v>
      </c>
      <c r="F11" s="4" t="s">
        <v>23</v>
      </c>
      <c r="G11" s="4">
        <v>6</v>
      </c>
      <c r="H11" s="2">
        <v>500</v>
      </c>
      <c r="I11" s="2">
        <v>10</v>
      </c>
      <c r="J11" s="4" t="s">
        <v>36</v>
      </c>
      <c r="K11" s="4" t="s">
        <v>25</v>
      </c>
      <c r="L11" s="4" t="s">
        <v>19</v>
      </c>
      <c r="M11" s="4">
        <v>3000</v>
      </c>
    </row>
    <row r="12" spans="1:13" x14ac:dyDescent="0.3">
      <c r="A12" s="4" t="s">
        <v>20</v>
      </c>
      <c r="B12" s="5">
        <v>46205</v>
      </c>
      <c r="C12" s="4" t="s">
        <v>21</v>
      </c>
      <c r="D12" s="4" t="s">
        <v>22</v>
      </c>
      <c r="E12" s="4" t="s">
        <v>15</v>
      </c>
      <c r="F12" s="4" t="s">
        <v>23</v>
      </c>
      <c r="G12" s="4">
        <v>5</v>
      </c>
      <c r="H12" s="2">
        <v>500</v>
      </c>
      <c r="I12" s="2">
        <v>5</v>
      </c>
      <c r="J12" s="4" t="s">
        <v>24</v>
      </c>
      <c r="K12" s="4" t="s">
        <v>25</v>
      </c>
      <c r="L12" s="4" t="s">
        <v>19</v>
      </c>
      <c r="M12" s="4">
        <v>2500</v>
      </c>
    </row>
    <row r="13" spans="1:13" x14ac:dyDescent="0.3">
      <c r="A13" s="4" t="s">
        <v>58</v>
      </c>
      <c r="B13" s="5">
        <v>46217</v>
      </c>
      <c r="C13" s="4" t="s">
        <v>41</v>
      </c>
      <c r="D13" s="4" t="s">
        <v>48</v>
      </c>
      <c r="E13" s="4" t="s">
        <v>15</v>
      </c>
      <c r="F13" s="4" t="s">
        <v>16</v>
      </c>
      <c r="G13" s="4">
        <v>2</v>
      </c>
      <c r="H13" s="2">
        <v>9000</v>
      </c>
      <c r="I13" s="2">
        <v>15</v>
      </c>
      <c r="J13" s="4" t="s">
        <v>36</v>
      </c>
      <c r="K13" s="4" t="s">
        <v>18</v>
      </c>
      <c r="L13" s="4" t="s">
        <v>30</v>
      </c>
      <c r="M13" s="4">
        <v>18000</v>
      </c>
    </row>
    <row r="14" spans="1:13" x14ac:dyDescent="0.3">
      <c r="A14" s="4" t="s">
        <v>46</v>
      </c>
      <c r="B14" s="5">
        <v>46211</v>
      </c>
      <c r="C14" s="6"/>
      <c r="D14" s="4" t="s">
        <v>48</v>
      </c>
      <c r="E14" s="4" t="s">
        <v>15</v>
      </c>
      <c r="F14" s="4" t="s">
        <v>49</v>
      </c>
      <c r="G14" s="4">
        <v>1</v>
      </c>
      <c r="H14" s="2">
        <v>9000</v>
      </c>
      <c r="I14" s="2">
        <v>5</v>
      </c>
      <c r="J14" s="4" t="s">
        <v>17</v>
      </c>
      <c r="K14" s="4" t="s">
        <v>29</v>
      </c>
      <c r="L14" s="4" t="s">
        <v>30</v>
      </c>
      <c r="M14" s="4">
        <v>9000</v>
      </c>
    </row>
    <row r="15" spans="1:13" x14ac:dyDescent="0.3">
      <c r="A15" s="4" t="s">
        <v>37</v>
      </c>
      <c r="B15" s="5">
        <v>46208</v>
      </c>
      <c r="C15" s="4" t="s">
        <v>13</v>
      </c>
      <c r="D15" s="4" t="s">
        <v>38</v>
      </c>
      <c r="E15" s="4" t="s">
        <v>34</v>
      </c>
      <c r="F15" s="4" t="s">
        <v>23</v>
      </c>
      <c r="G15" s="4">
        <v>2</v>
      </c>
      <c r="H15" s="2">
        <v>8000</v>
      </c>
      <c r="I15" s="2">
        <v>10</v>
      </c>
      <c r="J15" s="4" t="s">
        <v>24</v>
      </c>
      <c r="K15" s="4" t="s">
        <v>29</v>
      </c>
      <c r="L15" s="4" t="s">
        <v>39</v>
      </c>
      <c r="M15" s="4">
        <v>16000</v>
      </c>
    </row>
    <row r="16" spans="1:13" x14ac:dyDescent="0.3">
      <c r="A16" s="4" t="s">
        <v>55</v>
      </c>
      <c r="B16" s="5">
        <v>46215</v>
      </c>
      <c r="C16" s="4" t="s">
        <v>27</v>
      </c>
      <c r="D16" s="4" t="s">
        <v>38</v>
      </c>
      <c r="E16" s="4" t="s">
        <v>34</v>
      </c>
      <c r="F16" s="4" t="s">
        <v>35</v>
      </c>
      <c r="G16" s="4">
        <v>2</v>
      </c>
      <c r="H16" s="2">
        <v>8000</v>
      </c>
      <c r="I16" s="2">
        <v>0</v>
      </c>
      <c r="J16" s="4" t="s">
        <v>24</v>
      </c>
      <c r="K16" s="4" t="s">
        <v>18</v>
      </c>
      <c r="L16" s="4" t="s">
        <v>56</v>
      </c>
      <c r="M16" s="4">
        <v>16000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F18C-9D3A-4FD3-9FEE-D1069D3FD3B8}">
  <dimension ref="A1:M16"/>
  <sheetViews>
    <sheetView zoomScale="67" workbookViewId="0">
      <selection activeCell="L48" sqref="L48"/>
    </sheetView>
  </sheetViews>
  <sheetFormatPr defaultRowHeight="14.4" x14ac:dyDescent="0.3"/>
  <cols>
    <col min="1" max="1" width="14.5546875" customWidth="1"/>
    <col min="2" max="2" width="11.44140625" customWidth="1"/>
    <col min="3" max="3" width="15.109375" customWidth="1"/>
    <col min="4" max="5" width="11.33203125" customWidth="1"/>
    <col min="6" max="6" width="11.5546875" bestFit="1" customWidth="1"/>
    <col min="12" max="12" width="11.33203125" customWidth="1"/>
  </cols>
  <sheetData>
    <row r="1" spans="1:13" ht="28.8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60</v>
      </c>
    </row>
    <row r="2" spans="1:13" ht="28.8" hidden="1" x14ac:dyDescent="0.3">
      <c r="A2" s="4" t="s">
        <v>31</v>
      </c>
      <c r="B2" s="5">
        <v>46207</v>
      </c>
      <c r="C2" s="4" t="s">
        <v>32</v>
      </c>
      <c r="D2" s="4" t="s">
        <v>33</v>
      </c>
      <c r="E2" s="4" t="s">
        <v>34</v>
      </c>
      <c r="F2" s="4" t="s">
        <v>35</v>
      </c>
      <c r="G2" s="4">
        <v>4</v>
      </c>
      <c r="H2" s="2">
        <v>3500</v>
      </c>
      <c r="I2" s="2">
        <v>15</v>
      </c>
      <c r="J2" s="4" t="s">
        <v>36</v>
      </c>
      <c r="K2" s="4" t="s">
        <v>18</v>
      </c>
      <c r="L2" s="4" t="s">
        <v>19</v>
      </c>
      <c r="M2" s="4">
        <v>14000</v>
      </c>
    </row>
    <row r="3" spans="1:13" ht="28.8" x14ac:dyDescent="0.3">
      <c r="A3" s="4" t="s">
        <v>54</v>
      </c>
      <c r="B3" s="5">
        <v>46214</v>
      </c>
      <c r="C3" s="4" t="s">
        <v>13</v>
      </c>
      <c r="D3" s="4" t="s">
        <v>33</v>
      </c>
      <c r="E3" s="4" t="s">
        <v>34</v>
      </c>
      <c r="F3" s="4" t="s">
        <v>16</v>
      </c>
      <c r="G3" s="4">
        <v>3</v>
      </c>
      <c r="H3" s="2">
        <v>3500</v>
      </c>
      <c r="I3" s="2">
        <v>5</v>
      </c>
      <c r="J3" s="4" t="s">
        <v>17</v>
      </c>
      <c r="K3" s="4" t="s">
        <v>29</v>
      </c>
      <c r="L3" s="4" t="s">
        <v>19</v>
      </c>
      <c r="M3" s="4">
        <v>10500</v>
      </c>
    </row>
    <row r="4" spans="1:13" ht="28.8" hidden="1" x14ac:dyDescent="0.3">
      <c r="A4" s="4" t="s">
        <v>57</v>
      </c>
      <c r="B4" s="5">
        <v>46216</v>
      </c>
      <c r="C4" s="4" t="s">
        <v>32</v>
      </c>
      <c r="D4" s="4" t="s">
        <v>28</v>
      </c>
      <c r="E4" s="4" t="s">
        <v>15</v>
      </c>
      <c r="F4" s="4" t="s">
        <v>49</v>
      </c>
      <c r="G4" s="4">
        <v>4</v>
      </c>
      <c r="H4" s="2">
        <v>1200</v>
      </c>
      <c r="I4" s="2">
        <v>10</v>
      </c>
      <c r="J4" s="4" t="s">
        <v>17</v>
      </c>
      <c r="K4" s="4" t="s">
        <v>25</v>
      </c>
      <c r="L4" s="4" t="s">
        <v>19</v>
      </c>
      <c r="M4" s="4">
        <v>4800</v>
      </c>
    </row>
    <row r="5" spans="1:13" ht="28.8" hidden="1" x14ac:dyDescent="0.3">
      <c r="A5" s="4" t="s">
        <v>26</v>
      </c>
      <c r="B5" s="5">
        <v>46206</v>
      </c>
      <c r="C5" s="4" t="s">
        <v>27</v>
      </c>
      <c r="D5" s="4" t="s">
        <v>28</v>
      </c>
      <c r="E5" s="4" t="s">
        <v>15</v>
      </c>
      <c r="F5" s="4" t="s">
        <v>16</v>
      </c>
      <c r="G5" s="4">
        <v>3</v>
      </c>
      <c r="H5" s="2">
        <v>1200</v>
      </c>
      <c r="I5" s="2">
        <v>0</v>
      </c>
      <c r="J5" s="4" t="s">
        <v>17</v>
      </c>
      <c r="K5" s="4" t="s">
        <v>29</v>
      </c>
      <c r="L5" s="4" t="s">
        <v>30</v>
      </c>
      <c r="M5" s="4">
        <v>3600</v>
      </c>
    </row>
    <row r="6" spans="1:13" ht="28.8" x14ac:dyDescent="0.3">
      <c r="A6" s="4" t="s">
        <v>12</v>
      </c>
      <c r="B6" s="5">
        <v>46204</v>
      </c>
      <c r="C6" s="4" t="s">
        <v>13</v>
      </c>
      <c r="D6" s="4" t="s">
        <v>14</v>
      </c>
      <c r="E6" s="4" t="s">
        <v>15</v>
      </c>
      <c r="F6" s="4" t="s">
        <v>16</v>
      </c>
      <c r="G6" s="4">
        <v>2</v>
      </c>
      <c r="H6" s="2">
        <v>55000</v>
      </c>
      <c r="I6" s="2">
        <v>10</v>
      </c>
      <c r="J6" s="4" t="s">
        <v>17</v>
      </c>
      <c r="K6" s="4" t="s">
        <v>18</v>
      </c>
      <c r="L6" s="4" t="s">
        <v>19</v>
      </c>
      <c r="M6" s="4">
        <v>110000</v>
      </c>
    </row>
    <row r="7" spans="1:13" ht="28.8" hidden="1" x14ac:dyDescent="0.3">
      <c r="A7" s="4" t="s">
        <v>59</v>
      </c>
      <c r="B7" s="5">
        <v>46218</v>
      </c>
      <c r="C7" s="4" t="s">
        <v>21</v>
      </c>
      <c r="D7" s="4" t="s">
        <v>14</v>
      </c>
      <c r="E7" s="4" t="s">
        <v>15</v>
      </c>
      <c r="F7" s="4" t="s">
        <v>23</v>
      </c>
      <c r="G7" s="4">
        <v>1</v>
      </c>
      <c r="H7" s="2">
        <v>55000</v>
      </c>
      <c r="I7" s="2">
        <v>5</v>
      </c>
      <c r="J7" s="4" t="s">
        <v>17</v>
      </c>
      <c r="K7" s="4" t="s">
        <v>29</v>
      </c>
      <c r="L7" s="4" t="s">
        <v>19</v>
      </c>
      <c r="M7" s="4">
        <v>55000</v>
      </c>
    </row>
    <row r="8" spans="1:13" ht="28.8" x14ac:dyDescent="0.3">
      <c r="A8" s="4" t="s">
        <v>40</v>
      </c>
      <c r="B8" s="5">
        <v>46209</v>
      </c>
      <c r="C8" s="4" t="s">
        <v>41</v>
      </c>
      <c r="D8" s="4" t="s">
        <v>14</v>
      </c>
      <c r="E8" s="4" t="s">
        <v>15</v>
      </c>
      <c r="F8" s="4" t="s">
        <v>16</v>
      </c>
      <c r="G8" s="4">
        <v>1</v>
      </c>
      <c r="H8" s="2">
        <v>55000</v>
      </c>
      <c r="I8" s="2">
        <v>5</v>
      </c>
      <c r="J8" s="4" t="s">
        <v>17</v>
      </c>
      <c r="K8" s="4" t="s">
        <v>25</v>
      </c>
      <c r="L8" s="4" t="s">
        <v>19</v>
      </c>
      <c r="M8" s="4">
        <v>55000</v>
      </c>
    </row>
    <row r="9" spans="1:13" ht="28.8" x14ac:dyDescent="0.3">
      <c r="A9" s="4" t="s">
        <v>50</v>
      </c>
      <c r="B9" s="5">
        <v>46212</v>
      </c>
      <c r="C9" s="4" t="s">
        <v>51</v>
      </c>
      <c r="D9" s="4" t="s">
        <v>14</v>
      </c>
      <c r="E9" s="4" t="s">
        <v>15</v>
      </c>
      <c r="F9" s="4" t="s">
        <v>16</v>
      </c>
      <c r="G9" s="6"/>
      <c r="H9" s="2">
        <v>55000</v>
      </c>
      <c r="I9" s="2">
        <v>0</v>
      </c>
      <c r="J9" s="4" t="s">
        <v>24</v>
      </c>
      <c r="K9" s="4" t="s">
        <v>18</v>
      </c>
      <c r="L9" s="4" t="s">
        <v>19</v>
      </c>
      <c r="M9" s="6"/>
    </row>
    <row r="10" spans="1:13" ht="28.8" hidden="1" x14ac:dyDescent="0.3">
      <c r="A10" s="4" t="s">
        <v>42</v>
      </c>
      <c r="B10" s="5">
        <v>46210</v>
      </c>
      <c r="C10" s="4" t="s">
        <v>43</v>
      </c>
      <c r="D10" s="4" t="s">
        <v>44</v>
      </c>
      <c r="E10" s="4" t="s">
        <v>15</v>
      </c>
      <c r="F10" s="4" t="s">
        <v>45</v>
      </c>
      <c r="G10" s="4">
        <v>2</v>
      </c>
      <c r="H10" s="2">
        <v>15000</v>
      </c>
      <c r="I10" s="2">
        <v>10</v>
      </c>
      <c r="J10" s="4" t="s">
        <v>36</v>
      </c>
      <c r="K10" s="4" t="s">
        <v>18</v>
      </c>
      <c r="L10" s="4" t="s">
        <v>19</v>
      </c>
      <c r="M10" s="4">
        <v>30000</v>
      </c>
    </row>
    <row r="11" spans="1:13" ht="28.8" hidden="1" x14ac:dyDescent="0.3">
      <c r="A11" s="4" t="s">
        <v>52</v>
      </c>
      <c r="B11" s="5">
        <v>46213</v>
      </c>
      <c r="C11" s="4" t="s">
        <v>53</v>
      </c>
      <c r="D11" s="4" t="s">
        <v>22</v>
      </c>
      <c r="E11" s="4" t="s">
        <v>15</v>
      </c>
      <c r="F11" s="4" t="s">
        <v>23</v>
      </c>
      <c r="G11" s="4">
        <v>6</v>
      </c>
      <c r="H11" s="2">
        <v>500</v>
      </c>
      <c r="I11" s="2">
        <v>10</v>
      </c>
      <c r="J11" s="4" t="s">
        <v>36</v>
      </c>
      <c r="K11" s="4" t="s">
        <v>25</v>
      </c>
      <c r="L11" s="4" t="s">
        <v>19</v>
      </c>
      <c r="M11" s="4">
        <v>3000</v>
      </c>
    </row>
    <row r="12" spans="1:13" ht="28.8" hidden="1" x14ac:dyDescent="0.3">
      <c r="A12" s="4" t="s">
        <v>20</v>
      </c>
      <c r="B12" s="5">
        <v>46205</v>
      </c>
      <c r="C12" s="4" t="s">
        <v>21</v>
      </c>
      <c r="D12" s="4" t="s">
        <v>22</v>
      </c>
      <c r="E12" s="4" t="s">
        <v>15</v>
      </c>
      <c r="F12" s="4" t="s">
        <v>23</v>
      </c>
      <c r="G12" s="4">
        <v>5</v>
      </c>
      <c r="H12" s="2">
        <v>500</v>
      </c>
      <c r="I12" s="2">
        <v>5</v>
      </c>
      <c r="J12" s="4" t="s">
        <v>24</v>
      </c>
      <c r="K12" s="4" t="s">
        <v>25</v>
      </c>
      <c r="L12" s="4" t="s">
        <v>19</v>
      </c>
      <c r="M12" s="4">
        <v>2500</v>
      </c>
    </row>
    <row r="13" spans="1:13" ht="28.8" hidden="1" x14ac:dyDescent="0.3">
      <c r="A13" s="4" t="s">
        <v>58</v>
      </c>
      <c r="B13" s="5">
        <v>46217</v>
      </c>
      <c r="C13" s="4" t="s">
        <v>41</v>
      </c>
      <c r="D13" s="4" t="s">
        <v>48</v>
      </c>
      <c r="E13" s="4" t="s">
        <v>15</v>
      </c>
      <c r="F13" s="4" t="s">
        <v>16</v>
      </c>
      <c r="G13" s="4">
        <v>2</v>
      </c>
      <c r="H13" s="2">
        <v>9000</v>
      </c>
      <c r="I13" s="2">
        <v>15</v>
      </c>
      <c r="J13" s="4" t="s">
        <v>36</v>
      </c>
      <c r="K13" s="4" t="s">
        <v>18</v>
      </c>
      <c r="L13" s="4" t="s">
        <v>30</v>
      </c>
      <c r="M13" s="4">
        <v>18000</v>
      </c>
    </row>
    <row r="14" spans="1:13" ht="28.8" hidden="1" x14ac:dyDescent="0.3">
      <c r="A14" s="4" t="s">
        <v>46</v>
      </c>
      <c r="B14" s="5">
        <v>46211</v>
      </c>
      <c r="C14" s="6"/>
      <c r="D14" s="4" t="s">
        <v>48</v>
      </c>
      <c r="E14" s="4" t="s">
        <v>15</v>
      </c>
      <c r="F14" s="4" t="s">
        <v>49</v>
      </c>
      <c r="G14" s="4">
        <v>1</v>
      </c>
      <c r="H14" s="2">
        <v>9000</v>
      </c>
      <c r="I14" s="2">
        <v>5</v>
      </c>
      <c r="J14" s="4" t="s">
        <v>17</v>
      </c>
      <c r="K14" s="4" t="s">
        <v>29</v>
      </c>
      <c r="L14" s="4" t="s">
        <v>30</v>
      </c>
      <c r="M14" s="4">
        <v>9000</v>
      </c>
    </row>
    <row r="15" spans="1:13" ht="28.8" hidden="1" x14ac:dyDescent="0.3">
      <c r="A15" s="4" t="s">
        <v>37</v>
      </c>
      <c r="B15" s="5">
        <v>46208</v>
      </c>
      <c r="C15" s="4" t="s">
        <v>13</v>
      </c>
      <c r="D15" s="4" t="s">
        <v>38</v>
      </c>
      <c r="E15" s="4" t="s">
        <v>34</v>
      </c>
      <c r="F15" s="4" t="s">
        <v>23</v>
      </c>
      <c r="G15" s="4">
        <v>2</v>
      </c>
      <c r="H15" s="2">
        <v>8000</v>
      </c>
      <c r="I15" s="2">
        <v>10</v>
      </c>
      <c r="J15" s="4" t="s">
        <v>24</v>
      </c>
      <c r="K15" s="4" t="s">
        <v>29</v>
      </c>
      <c r="L15" s="4" t="s">
        <v>39</v>
      </c>
      <c r="M15" s="4">
        <v>16000</v>
      </c>
    </row>
    <row r="16" spans="1:13" ht="28.8" hidden="1" x14ac:dyDescent="0.3">
      <c r="A16" s="4" t="s">
        <v>55</v>
      </c>
      <c r="B16" s="5">
        <v>46215</v>
      </c>
      <c r="C16" s="4" t="s">
        <v>27</v>
      </c>
      <c r="D16" s="4" t="s">
        <v>38</v>
      </c>
      <c r="E16" s="4" t="s">
        <v>34</v>
      </c>
      <c r="F16" s="4" t="s">
        <v>35</v>
      </c>
      <c r="G16" s="4">
        <v>2</v>
      </c>
      <c r="H16" s="2">
        <v>8000</v>
      </c>
      <c r="I16" s="2">
        <v>0</v>
      </c>
      <c r="J16" s="4" t="s">
        <v>24</v>
      </c>
      <c r="K16" s="4" t="s">
        <v>18</v>
      </c>
      <c r="L16" s="4" t="s">
        <v>56</v>
      </c>
      <c r="M16" s="4">
        <v>16000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DDA1-4426-4105-B351-9A108E01F638}">
  <dimension ref="A1:O36"/>
  <sheetViews>
    <sheetView topLeftCell="A5" zoomScale="83" workbookViewId="0">
      <selection activeCell="K21" sqref="K21"/>
    </sheetView>
  </sheetViews>
  <sheetFormatPr defaultRowHeight="14.4" x14ac:dyDescent="0.3"/>
  <cols>
    <col min="2" max="2" width="10.44140625" customWidth="1"/>
    <col min="3" max="5" width="13.44140625" customWidth="1"/>
    <col min="7" max="7" width="11.6640625" customWidth="1"/>
    <col min="8" max="8" width="11.109375" customWidth="1"/>
    <col min="14" max="14" width="11.44140625" customWidth="1"/>
  </cols>
  <sheetData>
    <row r="1" spans="1:15" ht="28.8" x14ac:dyDescent="0.3">
      <c r="A1" s="1" t="s">
        <v>1</v>
      </c>
      <c r="B1" s="1" t="s">
        <v>2</v>
      </c>
      <c r="C1" s="1" t="s">
        <v>3</v>
      </c>
      <c r="D1" s="1" t="s">
        <v>61</v>
      </c>
      <c r="E1" s="1" t="s">
        <v>62</v>
      </c>
      <c r="F1" s="1" t="s">
        <v>0</v>
      </c>
      <c r="G1" s="1" t="s">
        <v>4</v>
      </c>
      <c r="H1" s="1" t="s">
        <v>5</v>
      </c>
      <c r="I1" s="1" t="s">
        <v>6</v>
      </c>
      <c r="J1" s="3" t="s">
        <v>7</v>
      </c>
      <c r="K1" s="3" t="s">
        <v>8</v>
      </c>
      <c r="L1" s="1" t="s">
        <v>9</v>
      </c>
      <c r="M1" s="1" t="s">
        <v>10</v>
      </c>
      <c r="N1" s="1" t="s">
        <v>11</v>
      </c>
      <c r="O1" s="1" t="s">
        <v>60</v>
      </c>
    </row>
    <row r="2" spans="1:15" x14ac:dyDescent="0.3">
      <c r="A2" s="4" t="s">
        <v>31</v>
      </c>
      <c r="B2" s="5">
        <v>46207</v>
      </c>
      <c r="C2" s="4" t="s">
        <v>32</v>
      </c>
      <c r="D2" s="4" t="s">
        <v>63</v>
      </c>
      <c r="E2" s="4" t="s">
        <v>71</v>
      </c>
      <c r="F2" s="4" t="s">
        <v>33</v>
      </c>
      <c r="G2" s="4" t="s">
        <v>34</v>
      </c>
      <c r="H2" s="4" t="s">
        <v>35</v>
      </c>
      <c r="I2" s="4">
        <v>4</v>
      </c>
      <c r="J2" s="2">
        <v>3500</v>
      </c>
      <c r="K2" s="2">
        <v>15</v>
      </c>
      <c r="L2" s="4" t="s">
        <v>36</v>
      </c>
      <c r="M2" s="4" t="s">
        <v>18</v>
      </c>
      <c r="N2" s="4" t="s">
        <v>19</v>
      </c>
      <c r="O2" s="4">
        <v>14000</v>
      </c>
    </row>
    <row r="3" spans="1:15" x14ac:dyDescent="0.3">
      <c r="A3" s="4" t="s">
        <v>54</v>
      </c>
      <c r="B3" s="5">
        <v>46214</v>
      </c>
      <c r="C3" s="4" t="s">
        <v>13</v>
      </c>
      <c r="D3" s="4" t="s">
        <v>64</v>
      </c>
      <c r="E3" s="4" t="s">
        <v>72</v>
      </c>
      <c r="F3" s="4" t="s">
        <v>33</v>
      </c>
      <c r="G3" s="4" t="s">
        <v>34</v>
      </c>
      <c r="H3" s="4" t="s">
        <v>16</v>
      </c>
      <c r="I3" s="4">
        <v>3</v>
      </c>
      <c r="J3" s="2">
        <v>3500</v>
      </c>
      <c r="K3" s="2">
        <v>5</v>
      </c>
      <c r="L3" s="4" t="s">
        <v>17</v>
      </c>
      <c r="M3" s="4" t="s">
        <v>29</v>
      </c>
      <c r="N3" s="4" t="s">
        <v>19</v>
      </c>
      <c r="O3" s="4">
        <v>10500</v>
      </c>
    </row>
    <row r="4" spans="1:15" x14ac:dyDescent="0.3">
      <c r="A4" s="4" t="s">
        <v>57</v>
      </c>
      <c r="B4" s="5">
        <v>46216</v>
      </c>
      <c r="C4" s="4" t="s">
        <v>32</v>
      </c>
      <c r="D4" s="4" t="s">
        <v>63</v>
      </c>
      <c r="E4" s="4" t="s">
        <v>71</v>
      </c>
      <c r="F4" s="4" t="s">
        <v>28</v>
      </c>
      <c r="G4" s="4" t="s">
        <v>15</v>
      </c>
      <c r="H4" s="4" t="s">
        <v>49</v>
      </c>
      <c r="I4" s="4">
        <v>4</v>
      </c>
      <c r="J4" s="2">
        <v>1200</v>
      </c>
      <c r="K4" s="2">
        <v>10</v>
      </c>
      <c r="L4" s="4" t="s">
        <v>17</v>
      </c>
      <c r="M4" s="4" t="s">
        <v>25</v>
      </c>
      <c r="N4" s="4" t="s">
        <v>19</v>
      </c>
      <c r="O4" s="4">
        <v>4800</v>
      </c>
    </row>
    <row r="5" spans="1:15" x14ac:dyDescent="0.3">
      <c r="A5" s="4" t="s">
        <v>26</v>
      </c>
      <c r="B5" s="5">
        <v>46206</v>
      </c>
      <c r="C5" s="4" t="s">
        <v>27</v>
      </c>
      <c r="D5" s="4" t="s">
        <v>65</v>
      </c>
      <c r="E5" s="4" t="s">
        <v>73</v>
      </c>
      <c r="F5" s="4" t="s">
        <v>28</v>
      </c>
      <c r="G5" s="4" t="s">
        <v>15</v>
      </c>
      <c r="H5" s="4" t="s">
        <v>16</v>
      </c>
      <c r="I5" s="4">
        <v>3</v>
      </c>
      <c r="J5" s="2">
        <v>1200</v>
      </c>
      <c r="K5" s="2">
        <v>0</v>
      </c>
      <c r="L5" s="4" t="s">
        <v>17</v>
      </c>
      <c r="M5" s="4" t="s">
        <v>29</v>
      </c>
      <c r="N5" s="4" t="s">
        <v>30</v>
      </c>
      <c r="O5" s="4">
        <v>3600</v>
      </c>
    </row>
    <row r="6" spans="1:15" x14ac:dyDescent="0.3">
      <c r="A6" s="4" t="s">
        <v>12</v>
      </c>
      <c r="B6" s="5">
        <v>46204</v>
      </c>
      <c r="C6" s="4" t="s">
        <v>13</v>
      </c>
      <c r="D6" s="4" t="s">
        <v>64</v>
      </c>
      <c r="E6" s="4" t="s">
        <v>72</v>
      </c>
      <c r="F6" s="4" t="s">
        <v>14</v>
      </c>
      <c r="G6" s="4" t="s">
        <v>15</v>
      </c>
      <c r="H6" s="4" t="s">
        <v>16</v>
      </c>
      <c r="I6" s="4">
        <v>2</v>
      </c>
      <c r="J6" s="2">
        <v>55000</v>
      </c>
      <c r="K6" s="2">
        <v>10</v>
      </c>
      <c r="L6" s="4" t="s">
        <v>17</v>
      </c>
      <c r="M6" s="4" t="s">
        <v>18</v>
      </c>
      <c r="N6" s="4" t="s">
        <v>19</v>
      </c>
      <c r="O6" s="4">
        <v>110000</v>
      </c>
    </row>
    <row r="7" spans="1:15" x14ac:dyDescent="0.3">
      <c r="A7" s="4" t="s">
        <v>59</v>
      </c>
      <c r="B7" s="5">
        <v>46218</v>
      </c>
      <c r="C7" s="4" t="s">
        <v>21</v>
      </c>
      <c r="D7" s="4" t="s">
        <v>66</v>
      </c>
      <c r="E7" s="4" t="s">
        <v>74</v>
      </c>
      <c r="F7" s="4" t="s">
        <v>14</v>
      </c>
      <c r="G7" s="4" t="s">
        <v>15</v>
      </c>
      <c r="H7" s="4" t="s">
        <v>23</v>
      </c>
      <c r="I7" s="4">
        <v>1</v>
      </c>
      <c r="J7" s="2">
        <v>55000</v>
      </c>
      <c r="K7" s="2">
        <v>5</v>
      </c>
      <c r="L7" s="4" t="s">
        <v>17</v>
      </c>
      <c r="M7" s="4" t="s">
        <v>29</v>
      </c>
      <c r="N7" s="4" t="s">
        <v>19</v>
      </c>
      <c r="O7" s="4">
        <v>55000</v>
      </c>
    </row>
    <row r="8" spans="1:15" x14ac:dyDescent="0.3">
      <c r="A8" s="4" t="s">
        <v>40</v>
      </c>
      <c r="B8" s="5">
        <v>46209</v>
      </c>
      <c r="C8" s="4" t="s">
        <v>41</v>
      </c>
      <c r="D8" s="4" t="s">
        <v>67</v>
      </c>
      <c r="E8" s="4" t="s">
        <v>75</v>
      </c>
      <c r="F8" s="4" t="s">
        <v>14</v>
      </c>
      <c r="G8" s="4" t="s">
        <v>15</v>
      </c>
      <c r="H8" s="4" t="s">
        <v>16</v>
      </c>
      <c r="I8" s="4">
        <v>1</v>
      </c>
      <c r="J8" s="2">
        <v>55000</v>
      </c>
      <c r="K8" s="2">
        <v>5</v>
      </c>
      <c r="L8" s="4" t="s">
        <v>17</v>
      </c>
      <c r="M8" s="4" t="s">
        <v>25</v>
      </c>
      <c r="N8" s="4" t="s">
        <v>19</v>
      </c>
      <c r="O8" s="4">
        <v>55000</v>
      </c>
    </row>
    <row r="9" spans="1:15" x14ac:dyDescent="0.3">
      <c r="A9" s="4" t="s">
        <v>50</v>
      </c>
      <c r="B9" s="5">
        <v>46212</v>
      </c>
      <c r="C9" s="4" t="s">
        <v>51</v>
      </c>
      <c r="D9" s="4" t="s">
        <v>68</v>
      </c>
      <c r="E9" s="4" t="s">
        <v>75</v>
      </c>
      <c r="F9" s="4" t="s">
        <v>14</v>
      </c>
      <c r="G9" s="4" t="s">
        <v>15</v>
      </c>
      <c r="H9" s="4" t="s">
        <v>16</v>
      </c>
      <c r="I9" s="6"/>
      <c r="J9" s="2">
        <v>55000</v>
      </c>
      <c r="K9" s="2">
        <v>0</v>
      </c>
      <c r="L9" s="4" t="s">
        <v>24</v>
      </c>
      <c r="M9" s="4" t="s">
        <v>18</v>
      </c>
      <c r="N9" s="4" t="s">
        <v>19</v>
      </c>
      <c r="O9" s="6"/>
    </row>
    <row r="10" spans="1:15" x14ac:dyDescent="0.3">
      <c r="A10" s="4" t="s">
        <v>42</v>
      </c>
      <c r="B10" s="5">
        <v>46210</v>
      </c>
      <c r="C10" s="4" t="s">
        <v>43</v>
      </c>
      <c r="D10" s="4" t="s">
        <v>69</v>
      </c>
      <c r="E10" s="4" t="s">
        <v>76</v>
      </c>
      <c r="F10" s="4" t="s">
        <v>44</v>
      </c>
      <c r="G10" s="4" t="s">
        <v>15</v>
      </c>
      <c r="H10" s="4" t="s">
        <v>45</v>
      </c>
      <c r="I10" s="4">
        <v>2</v>
      </c>
      <c r="J10" s="2">
        <v>15000</v>
      </c>
      <c r="K10" s="2">
        <v>10</v>
      </c>
      <c r="L10" s="4" t="s">
        <v>36</v>
      </c>
      <c r="M10" s="4" t="s">
        <v>18</v>
      </c>
      <c r="N10" s="4" t="s">
        <v>19</v>
      </c>
      <c r="O10" s="4">
        <v>30000</v>
      </c>
    </row>
    <row r="11" spans="1:15" x14ac:dyDescent="0.3">
      <c r="A11" s="4" t="s">
        <v>52</v>
      </c>
      <c r="B11" s="5">
        <v>46213</v>
      </c>
      <c r="C11" s="4" t="s">
        <v>53</v>
      </c>
      <c r="D11" s="4" t="s">
        <v>70</v>
      </c>
      <c r="E11" s="4" t="s">
        <v>77</v>
      </c>
      <c r="F11" s="4" t="s">
        <v>22</v>
      </c>
      <c r="G11" s="4" t="s">
        <v>15</v>
      </c>
      <c r="H11" s="4" t="s">
        <v>23</v>
      </c>
      <c r="I11" s="4">
        <v>6</v>
      </c>
      <c r="J11" s="2">
        <v>500</v>
      </c>
      <c r="K11" s="2">
        <v>10</v>
      </c>
      <c r="L11" s="4" t="s">
        <v>36</v>
      </c>
      <c r="M11" s="4" t="s">
        <v>25</v>
      </c>
      <c r="N11" s="4" t="s">
        <v>19</v>
      </c>
      <c r="O11" s="4">
        <v>3000</v>
      </c>
    </row>
    <row r="12" spans="1:15" x14ac:dyDescent="0.3">
      <c r="A12" s="4" t="s">
        <v>20</v>
      </c>
      <c r="B12" s="5">
        <v>46205</v>
      </c>
      <c r="C12" s="4" t="s">
        <v>21</v>
      </c>
      <c r="D12" s="4" t="s">
        <v>66</v>
      </c>
      <c r="E12" s="4" t="s">
        <v>74</v>
      </c>
      <c r="F12" s="4" t="s">
        <v>22</v>
      </c>
      <c r="G12" s="4" t="s">
        <v>15</v>
      </c>
      <c r="H12" s="4" t="s">
        <v>23</v>
      </c>
      <c r="I12" s="4">
        <v>5</v>
      </c>
      <c r="J12" s="2">
        <v>500</v>
      </c>
      <c r="K12" s="2">
        <v>5</v>
      </c>
      <c r="L12" s="4" t="s">
        <v>24</v>
      </c>
      <c r="M12" s="4" t="s">
        <v>25</v>
      </c>
      <c r="N12" s="4" t="s">
        <v>19</v>
      </c>
      <c r="O12" s="4">
        <v>2500</v>
      </c>
    </row>
    <row r="13" spans="1:15" x14ac:dyDescent="0.3">
      <c r="A13" s="4" t="s">
        <v>58</v>
      </c>
      <c r="B13" s="5">
        <v>46217</v>
      </c>
      <c r="C13" s="4" t="s">
        <v>41</v>
      </c>
      <c r="D13" s="4" t="s">
        <v>67</v>
      </c>
      <c r="E13" s="4" t="s">
        <v>75</v>
      </c>
      <c r="F13" s="4" t="s">
        <v>48</v>
      </c>
      <c r="G13" s="4" t="s">
        <v>15</v>
      </c>
      <c r="H13" s="4" t="s">
        <v>16</v>
      </c>
      <c r="I13" s="4">
        <v>2</v>
      </c>
      <c r="J13" s="2">
        <v>9000</v>
      </c>
      <c r="K13" s="2">
        <v>15</v>
      </c>
      <c r="L13" s="4" t="s">
        <v>36</v>
      </c>
      <c r="M13" s="4" t="s">
        <v>18</v>
      </c>
      <c r="N13" s="4" t="s">
        <v>30</v>
      </c>
      <c r="O13" s="4">
        <v>18000</v>
      </c>
    </row>
    <row r="14" spans="1:15" x14ac:dyDescent="0.3">
      <c r="A14" s="4" t="s">
        <v>46</v>
      </c>
      <c r="B14" s="5">
        <v>46211</v>
      </c>
      <c r="C14" s="6"/>
      <c r="D14" s="6"/>
      <c r="E14" s="6"/>
      <c r="F14" s="4" t="s">
        <v>48</v>
      </c>
      <c r="G14" s="4" t="s">
        <v>15</v>
      </c>
      <c r="H14" s="4" t="s">
        <v>49</v>
      </c>
      <c r="I14" s="4">
        <v>1</v>
      </c>
      <c r="J14" s="2">
        <v>9000</v>
      </c>
      <c r="K14" s="2">
        <v>5</v>
      </c>
      <c r="L14" s="4" t="s">
        <v>17</v>
      </c>
      <c r="M14" s="4" t="s">
        <v>29</v>
      </c>
      <c r="N14" s="4" t="s">
        <v>30</v>
      </c>
      <c r="O14" s="4">
        <v>9000</v>
      </c>
    </row>
    <row r="15" spans="1:15" x14ac:dyDescent="0.3">
      <c r="A15" s="4" t="s">
        <v>37</v>
      </c>
      <c r="B15" s="5">
        <v>46208</v>
      </c>
      <c r="C15" s="4" t="s">
        <v>13</v>
      </c>
      <c r="D15" s="4" t="s">
        <v>64</v>
      </c>
      <c r="E15" s="4" t="s">
        <v>72</v>
      </c>
      <c r="F15" s="4" t="s">
        <v>38</v>
      </c>
      <c r="G15" s="4" t="s">
        <v>34</v>
      </c>
      <c r="H15" s="4" t="s">
        <v>23</v>
      </c>
      <c r="I15" s="4">
        <v>2</v>
      </c>
      <c r="J15" s="2">
        <v>8000</v>
      </c>
      <c r="K15" s="2">
        <v>10</v>
      </c>
      <c r="L15" s="4" t="s">
        <v>24</v>
      </c>
      <c r="M15" s="4" t="s">
        <v>29</v>
      </c>
      <c r="N15" s="4" t="s">
        <v>39</v>
      </c>
      <c r="O15" s="4">
        <v>16000</v>
      </c>
    </row>
    <row r="16" spans="1:15" x14ac:dyDescent="0.3">
      <c r="A16" s="4" t="s">
        <v>55</v>
      </c>
      <c r="B16" s="5">
        <v>46215</v>
      </c>
      <c r="C16" s="4" t="s">
        <v>27</v>
      </c>
      <c r="D16" s="4" t="s">
        <v>65</v>
      </c>
      <c r="E16" s="4" t="s">
        <v>73</v>
      </c>
      <c r="F16" s="4" t="s">
        <v>38</v>
      </c>
      <c r="G16" s="4" t="s">
        <v>34</v>
      </c>
      <c r="H16" s="4" t="s">
        <v>35</v>
      </c>
      <c r="I16" s="4">
        <v>2</v>
      </c>
      <c r="J16" s="2">
        <v>8000</v>
      </c>
      <c r="K16" s="2">
        <v>0</v>
      </c>
      <c r="L16" s="4" t="s">
        <v>24</v>
      </c>
      <c r="M16" s="4" t="s">
        <v>18</v>
      </c>
      <c r="N16" s="4" t="s">
        <v>56</v>
      </c>
      <c r="O16" s="4">
        <v>16000</v>
      </c>
    </row>
    <row r="19" spans="5:8" x14ac:dyDescent="0.3">
      <c r="E19" cm="1">
        <f t="array" ref="E19:E33">LEN(Table359[Customer Name])</f>
        <v>11</v>
      </c>
      <c r="F19" t="str" cm="1">
        <f t="array" ref="F19:F33">UPPER(Table359[Customer Name])</f>
        <v>EMMA WILSON</v>
      </c>
    </row>
    <row r="20" spans="5:8" x14ac:dyDescent="0.3">
      <c r="E20">
        <v>10</v>
      </c>
      <c r="F20" t="str">
        <v>JOHN SMITH</v>
      </c>
    </row>
    <row r="21" spans="5:8" x14ac:dyDescent="0.3">
      <c r="E21">
        <v>11</v>
      </c>
      <c r="F21" t="str">
        <v>EMMA WILSON</v>
      </c>
    </row>
    <row r="22" spans="5:8" x14ac:dyDescent="0.3">
      <c r="E22">
        <v>9</v>
      </c>
      <c r="F22" t="str">
        <v>DAVID LEE</v>
      </c>
      <c r="H22" t="str" cm="1">
        <f t="array" ref="H22:H36">TRIM(Table359[Customer Name])</f>
        <v>Emma Wilson</v>
      </c>
    </row>
    <row r="23" spans="5:8" x14ac:dyDescent="0.3">
      <c r="E23">
        <v>10</v>
      </c>
      <c r="F23" t="str">
        <v>JOHN SMITH</v>
      </c>
      <c r="H23" t="str">
        <v>John Smith</v>
      </c>
    </row>
    <row r="24" spans="5:8" x14ac:dyDescent="0.3">
      <c r="E24">
        <v>11</v>
      </c>
      <c r="F24" t="str">
        <v>ALICE BROWN</v>
      </c>
      <c r="H24" t="str">
        <v>Emma Wilson</v>
      </c>
    </row>
    <row r="25" spans="5:8" x14ac:dyDescent="0.3">
      <c r="E25">
        <v>10</v>
      </c>
      <c r="F25" t="str">
        <v>RAVI KUMAR</v>
      </c>
      <c r="H25" t="str">
        <v>David Lee</v>
      </c>
    </row>
    <row r="26" spans="5:8" x14ac:dyDescent="0.3">
      <c r="E26">
        <v>10</v>
      </c>
      <c r="F26" t="str">
        <v>ANIL KUMAR</v>
      </c>
      <c r="H26" t="str">
        <v>John Smith</v>
      </c>
    </row>
    <row r="27" spans="5:8" x14ac:dyDescent="0.3">
      <c r="E27">
        <v>10</v>
      </c>
      <c r="F27" t="str">
        <v>MEENA DEVI</v>
      </c>
      <c r="H27" t="str">
        <v>Alice Brown</v>
      </c>
    </row>
    <row r="28" spans="5:8" x14ac:dyDescent="0.3">
      <c r="E28">
        <v>11</v>
      </c>
      <c r="F28" t="str">
        <v>SARAH JONES</v>
      </c>
      <c r="H28" t="str">
        <v>Ravi Kumar</v>
      </c>
    </row>
    <row r="29" spans="5:8" x14ac:dyDescent="0.3">
      <c r="E29">
        <v>11</v>
      </c>
      <c r="F29" t="str">
        <v>ALICE BROWN</v>
      </c>
      <c r="H29" t="str">
        <v>Anil Kumar</v>
      </c>
    </row>
    <row r="30" spans="5:8" x14ac:dyDescent="0.3">
      <c r="E30">
        <v>10</v>
      </c>
      <c r="F30" t="str">
        <v>RAVI KUMAR</v>
      </c>
      <c r="H30" t="str">
        <v>Meena Devi</v>
      </c>
    </row>
    <row r="31" spans="5:8" x14ac:dyDescent="0.3">
      <c r="E31">
        <v>0</v>
      </c>
      <c r="F31" t="str">
        <v/>
      </c>
      <c r="H31" t="str">
        <v>Sarah Jones</v>
      </c>
    </row>
    <row r="32" spans="5:8" x14ac:dyDescent="0.3">
      <c r="E32">
        <v>10</v>
      </c>
      <c r="F32" t="str">
        <v>JOHN SMITH</v>
      </c>
      <c r="H32" t="str">
        <v>Alice Brown</v>
      </c>
    </row>
    <row r="33" spans="5:8" x14ac:dyDescent="0.3">
      <c r="E33">
        <v>9</v>
      </c>
      <c r="F33" t="str">
        <v>DAVID LEE</v>
      </c>
      <c r="H33" t="str">
        <v>Ravi Kumar</v>
      </c>
    </row>
    <row r="34" spans="5:8" x14ac:dyDescent="0.3">
      <c r="H34" t="str">
        <v/>
      </c>
    </row>
    <row r="35" spans="5:8" x14ac:dyDescent="0.3">
      <c r="H35" t="str">
        <v>John Smith</v>
      </c>
    </row>
    <row r="36" spans="5:8" x14ac:dyDescent="0.3">
      <c r="H36" t="str">
        <v>David Lee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0A63-CDBF-41AE-8707-CB894CC5B00F}">
  <dimension ref="A1:Q33"/>
  <sheetViews>
    <sheetView zoomScale="75" workbookViewId="0">
      <selection activeCell="N28" sqref="N28"/>
    </sheetView>
  </sheetViews>
  <sheetFormatPr defaultRowHeight="14.4" x14ac:dyDescent="0.3"/>
  <cols>
    <col min="2" max="2" width="13" customWidth="1"/>
    <col min="3" max="6" width="11.77734375" customWidth="1"/>
    <col min="8" max="8" width="12.6640625" customWidth="1"/>
    <col min="9" max="9" width="11.44140625" customWidth="1"/>
    <col min="15" max="15" width="10.33203125" customWidth="1"/>
    <col min="17" max="17" width="13.21875" customWidth="1"/>
  </cols>
  <sheetData>
    <row r="1" spans="1:17" ht="28.8" x14ac:dyDescent="0.3">
      <c r="A1" s="1" t="s">
        <v>1</v>
      </c>
      <c r="B1" s="1" t="s">
        <v>2</v>
      </c>
      <c r="C1" s="1" t="s">
        <v>3</v>
      </c>
      <c r="D1" s="1" t="s">
        <v>61</v>
      </c>
      <c r="E1" s="1" t="s">
        <v>78</v>
      </c>
      <c r="F1" s="1" t="s">
        <v>79</v>
      </c>
      <c r="G1" s="1" t="s">
        <v>0</v>
      </c>
      <c r="H1" s="1" t="s">
        <v>4</v>
      </c>
      <c r="I1" s="1" t="s">
        <v>5</v>
      </c>
      <c r="J1" s="1" t="s">
        <v>6</v>
      </c>
      <c r="K1" s="3" t="s">
        <v>7</v>
      </c>
      <c r="L1" s="3" t="s">
        <v>8</v>
      </c>
      <c r="M1" s="1" t="s">
        <v>9</v>
      </c>
      <c r="N1" s="1" t="s">
        <v>10</v>
      </c>
      <c r="O1" s="1" t="s">
        <v>11</v>
      </c>
      <c r="P1" s="1" t="s">
        <v>60</v>
      </c>
      <c r="Q1" s="1" t="s">
        <v>88</v>
      </c>
    </row>
    <row r="2" spans="1:17" ht="28.8" x14ac:dyDescent="0.3">
      <c r="A2" s="4" t="s">
        <v>31</v>
      </c>
      <c r="B2" s="5">
        <v>46207</v>
      </c>
      <c r="C2" s="4" t="s">
        <v>32</v>
      </c>
      <c r="D2" s="4" t="s">
        <v>63</v>
      </c>
      <c r="E2" s="4" t="s">
        <v>71</v>
      </c>
      <c r="F2" s="4" t="s">
        <v>80</v>
      </c>
      <c r="G2" s="4" t="s">
        <v>33</v>
      </c>
      <c r="H2" s="4" t="s">
        <v>34</v>
      </c>
      <c r="I2" s="4" t="s">
        <v>35</v>
      </c>
      <c r="J2" s="4">
        <v>4</v>
      </c>
      <c r="K2" s="2">
        <v>3500</v>
      </c>
      <c r="L2" s="2">
        <v>15</v>
      </c>
      <c r="M2" s="4" t="s">
        <v>36</v>
      </c>
      <c r="N2" s="4" t="s">
        <v>18</v>
      </c>
      <c r="O2" s="4" t="s">
        <v>19</v>
      </c>
      <c r="P2" s="4">
        <v>14000</v>
      </c>
      <c r="Q2" s="4" t="s">
        <v>89</v>
      </c>
    </row>
    <row r="3" spans="1:17" x14ac:dyDescent="0.3">
      <c r="A3" s="4" t="s">
        <v>54</v>
      </c>
      <c r="B3" s="5">
        <v>46214</v>
      </c>
      <c r="C3" s="4" t="s">
        <v>13</v>
      </c>
      <c r="D3" s="4" t="s">
        <v>64</v>
      </c>
      <c r="E3" s="4" t="s">
        <v>72</v>
      </c>
      <c r="F3" s="4" t="s">
        <v>81</v>
      </c>
      <c r="G3" s="4" t="s">
        <v>33</v>
      </c>
      <c r="H3" s="4" t="s">
        <v>34</v>
      </c>
      <c r="I3" s="4" t="s">
        <v>16</v>
      </c>
      <c r="J3" s="4">
        <v>3</v>
      </c>
      <c r="K3" s="2">
        <v>3500</v>
      </c>
      <c r="L3" s="2">
        <v>5</v>
      </c>
      <c r="M3" s="4" t="s">
        <v>17</v>
      </c>
      <c r="N3" s="4" t="s">
        <v>29</v>
      </c>
      <c r="O3" s="4" t="s">
        <v>19</v>
      </c>
      <c r="P3" s="4">
        <v>10500</v>
      </c>
      <c r="Q3" s="4" t="s">
        <v>90</v>
      </c>
    </row>
    <row r="4" spans="1:17" ht="28.8" x14ac:dyDescent="0.3">
      <c r="A4" s="4" t="s">
        <v>57</v>
      </c>
      <c r="B4" s="5">
        <v>46216</v>
      </c>
      <c r="C4" s="4" t="s">
        <v>32</v>
      </c>
      <c r="D4" s="4" t="s">
        <v>63</v>
      </c>
      <c r="E4" s="4" t="s">
        <v>71</v>
      </c>
      <c r="F4" s="4" t="s">
        <v>80</v>
      </c>
      <c r="G4" s="4" t="s">
        <v>28</v>
      </c>
      <c r="H4" s="4" t="s">
        <v>15</v>
      </c>
      <c r="I4" s="4" t="s">
        <v>49</v>
      </c>
      <c r="J4" s="4">
        <v>4</v>
      </c>
      <c r="K4" s="2">
        <v>1200</v>
      </c>
      <c r="L4" s="2">
        <v>10</v>
      </c>
      <c r="M4" s="4" t="s">
        <v>17</v>
      </c>
      <c r="N4" s="4" t="s">
        <v>25</v>
      </c>
      <c r="O4" s="4" t="s">
        <v>19</v>
      </c>
      <c r="P4" s="4">
        <v>4800</v>
      </c>
      <c r="Q4" s="4" t="s">
        <v>91</v>
      </c>
    </row>
    <row r="5" spans="1:17" x14ac:dyDescent="0.3">
      <c r="A5" s="4" t="s">
        <v>26</v>
      </c>
      <c r="B5" s="5">
        <v>46206</v>
      </c>
      <c r="C5" s="4" t="s">
        <v>27</v>
      </c>
      <c r="D5" s="4" t="s">
        <v>65</v>
      </c>
      <c r="E5" s="4" t="s">
        <v>73</v>
      </c>
      <c r="F5" s="4" t="s">
        <v>82</v>
      </c>
      <c r="G5" s="4" t="s">
        <v>28</v>
      </c>
      <c r="H5" s="4" t="s">
        <v>15</v>
      </c>
      <c r="I5" s="4" t="s">
        <v>16</v>
      </c>
      <c r="J5" s="4">
        <v>3</v>
      </c>
      <c r="K5" s="2">
        <v>1200</v>
      </c>
      <c r="L5" s="2">
        <v>0</v>
      </c>
      <c r="M5" s="4" t="s">
        <v>17</v>
      </c>
      <c r="N5" s="4" t="s">
        <v>29</v>
      </c>
      <c r="O5" s="4" t="s">
        <v>30</v>
      </c>
      <c r="P5" s="4">
        <v>3600</v>
      </c>
      <c r="Q5" s="4" t="s">
        <v>92</v>
      </c>
    </row>
    <row r="6" spans="1:17" x14ac:dyDescent="0.3">
      <c r="A6" s="4" t="s">
        <v>12</v>
      </c>
      <c r="B6" s="5">
        <v>46204</v>
      </c>
      <c r="C6" s="4" t="s">
        <v>13</v>
      </c>
      <c r="D6" s="4" t="s">
        <v>64</v>
      </c>
      <c r="E6" s="4" t="s">
        <v>72</v>
      </c>
      <c r="F6" s="4" t="s">
        <v>81</v>
      </c>
      <c r="G6" s="4" t="s">
        <v>14</v>
      </c>
      <c r="H6" s="4" t="s">
        <v>15</v>
      </c>
      <c r="I6" s="4" t="s">
        <v>16</v>
      </c>
      <c r="J6" s="4">
        <v>2</v>
      </c>
      <c r="K6" s="2">
        <v>55000</v>
      </c>
      <c r="L6" s="2">
        <v>10</v>
      </c>
      <c r="M6" s="4" t="s">
        <v>17</v>
      </c>
      <c r="N6" s="4" t="s">
        <v>18</v>
      </c>
      <c r="O6" s="4" t="s">
        <v>19</v>
      </c>
      <c r="P6" s="4">
        <v>110000</v>
      </c>
      <c r="Q6" s="4" t="s">
        <v>93</v>
      </c>
    </row>
    <row r="7" spans="1:17" x14ac:dyDescent="0.3">
      <c r="A7" s="4" t="s">
        <v>59</v>
      </c>
      <c r="B7" s="5">
        <v>46218</v>
      </c>
      <c r="C7" s="4" t="s">
        <v>21</v>
      </c>
      <c r="D7" s="4" t="s">
        <v>66</v>
      </c>
      <c r="E7" s="4" t="s">
        <v>74</v>
      </c>
      <c r="F7" s="4" t="s">
        <v>83</v>
      </c>
      <c r="G7" s="4" t="s">
        <v>14</v>
      </c>
      <c r="H7" s="4" t="s">
        <v>15</v>
      </c>
      <c r="I7" s="4" t="s">
        <v>23</v>
      </c>
      <c r="J7" s="4">
        <v>1</v>
      </c>
      <c r="K7" s="2">
        <v>55000</v>
      </c>
      <c r="L7" s="2">
        <v>5</v>
      </c>
      <c r="M7" s="4" t="s">
        <v>17</v>
      </c>
      <c r="N7" s="4" t="s">
        <v>29</v>
      </c>
      <c r="O7" s="4" t="s">
        <v>19</v>
      </c>
      <c r="P7" s="4">
        <v>55000</v>
      </c>
      <c r="Q7" s="4" t="s">
        <v>94</v>
      </c>
    </row>
    <row r="8" spans="1:17" x14ac:dyDescent="0.3">
      <c r="A8" s="4" t="s">
        <v>40</v>
      </c>
      <c r="B8" s="5">
        <v>46209</v>
      </c>
      <c r="C8" s="4" t="s">
        <v>41</v>
      </c>
      <c r="D8" s="4" t="s">
        <v>67</v>
      </c>
      <c r="E8" s="4" t="s">
        <v>75</v>
      </c>
      <c r="F8" s="4" t="s">
        <v>84</v>
      </c>
      <c r="G8" s="4" t="s">
        <v>14</v>
      </c>
      <c r="H8" s="4" t="s">
        <v>15</v>
      </c>
      <c r="I8" s="4" t="s">
        <v>16</v>
      </c>
      <c r="J8" s="4">
        <v>1</v>
      </c>
      <c r="K8" s="2">
        <v>55000</v>
      </c>
      <c r="L8" s="2">
        <v>5</v>
      </c>
      <c r="M8" s="4" t="s">
        <v>17</v>
      </c>
      <c r="N8" s="4" t="s">
        <v>25</v>
      </c>
      <c r="O8" s="4" t="s">
        <v>19</v>
      </c>
      <c r="P8" s="4">
        <v>55000</v>
      </c>
      <c r="Q8" s="4" t="s">
        <v>93</v>
      </c>
    </row>
    <row r="9" spans="1:17" x14ac:dyDescent="0.3">
      <c r="A9" s="4" t="s">
        <v>50</v>
      </c>
      <c r="B9" s="5">
        <v>46212</v>
      </c>
      <c r="C9" s="4" t="s">
        <v>51</v>
      </c>
      <c r="D9" s="4" t="s">
        <v>68</v>
      </c>
      <c r="E9" s="4" t="s">
        <v>75</v>
      </c>
      <c r="F9" s="4" t="s">
        <v>85</v>
      </c>
      <c r="G9" s="4" t="s">
        <v>14</v>
      </c>
      <c r="H9" s="4" t="s">
        <v>15</v>
      </c>
      <c r="I9" s="4" t="s">
        <v>16</v>
      </c>
      <c r="J9" s="6"/>
      <c r="K9" s="2">
        <v>55000</v>
      </c>
      <c r="L9" s="2">
        <v>0</v>
      </c>
      <c r="M9" s="4" t="s">
        <v>24</v>
      </c>
      <c r="N9" s="4" t="s">
        <v>18</v>
      </c>
      <c r="O9" s="4" t="s">
        <v>19</v>
      </c>
      <c r="P9" s="6"/>
      <c r="Q9" s="4" t="s">
        <v>93</v>
      </c>
    </row>
    <row r="10" spans="1:17" x14ac:dyDescent="0.3">
      <c r="A10" s="4" t="s">
        <v>42</v>
      </c>
      <c r="B10" s="5">
        <v>46210</v>
      </c>
      <c r="C10" s="4" t="s">
        <v>43</v>
      </c>
      <c r="D10" s="4" t="s">
        <v>69</v>
      </c>
      <c r="E10" s="4" t="s">
        <v>76</v>
      </c>
      <c r="F10" s="4" t="s">
        <v>86</v>
      </c>
      <c r="G10" s="4" t="s">
        <v>44</v>
      </c>
      <c r="H10" s="4" t="s">
        <v>15</v>
      </c>
      <c r="I10" s="4" t="s">
        <v>45</v>
      </c>
      <c r="J10" s="4">
        <v>2</v>
      </c>
      <c r="K10" s="2">
        <v>15000</v>
      </c>
      <c r="L10" s="2">
        <v>10</v>
      </c>
      <c r="M10" s="4" t="s">
        <v>36</v>
      </c>
      <c r="N10" s="4" t="s">
        <v>18</v>
      </c>
      <c r="O10" s="4" t="s">
        <v>19</v>
      </c>
      <c r="P10" s="4">
        <v>30000</v>
      </c>
      <c r="Q10" s="4" t="s">
        <v>95</v>
      </c>
    </row>
    <row r="11" spans="1:17" x14ac:dyDescent="0.3">
      <c r="A11" s="4" t="s">
        <v>52</v>
      </c>
      <c r="B11" s="5">
        <v>46213</v>
      </c>
      <c r="C11" s="4" t="s">
        <v>53</v>
      </c>
      <c r="D11" s="4" t="s">
        <v>70</v>
      </c>
      <c r="E11" s="4" t="s">
        <v>77</v>
      </c>
      <c r="F11" s="4" t="s">
        <v>87</v>
      </c>
      <c r="G11" s="4" t="s">
        <v>22</v>
      </c>
      <c r="H11" s="4" t="s">
        <v>15</v>
      </c>
      <c r="I11" s="4" t="s">
        <v>23</v>
      </c>
      <c r="J11" s="4">
        <v>6</v>
      </c>
      <c r="K11" s="2">
        <v>500</v>
      </c>
      <c r="L11" s="2">
        <v>10</v>
      </c>
      <c r="M11" s="4" t="s">
        <v>36</v>
      </c>
      <c r="N11" s="4" t="s">
        <v>25</v>
      </c>
      <c r="O11" s="4" t="s">
        <v>19</v>
      </c>
      <c r="P11" s="4">
        <v>3000</v>
      </c>
      <c r="Q11" s="4" t="s">
        <v>96</v>
      </c>
    </row>
    <row r="12" spans="1:17" x14ac:dyDescent="0.3">
      <c r="A12" s="4" t="s">
        <v>20</v>
      </c>
      <c r="B12" s="5">
        <v>46205</v>
      </c>
      <c r="C12" s="4" t="s">
        <v>21</v>
      </c>
      <c r="D12" s="4" t="s">
        <v>66</v>
      </c>
      <c r="E12" s="4" t="s">
        <v>74</v>
      </c>
      <c r="F12" s="4" t="s">
        <v>83</v>
      </c>
      <c r="G12" s="4" t="s">
        <v>22</v>
      </c>
      <c r="H12" s="4" t="s">
        <v>15</v>
      </c>
      <c r="I12" s="4" t="s">
        <v>23</v>
      </c>
      <c r="J12" s="4">
        <v>5</v>
      </c>
      <c r="K12" s="2">
        <v>500</v>
      </c>
      <c r="L12" s="2">
        <v>5</v>
      </c>
      <c r="M12" s="4" t="s">
        <v>24</v>
      </c>
      <c r="N12" s="4" t="s">
        <v>25</v>
      </c>
      <c r="O12" s="4" t="s">
        <v>19</v>
      </c>
      <c r="P12" s="4">
        <v>2500</v>
      </c>
      <c r="Q12" s="4" t="s">
        <v>96</v>
      </c>
    </row>
    <row r="13" spans="1:17" x14ac:dyDescent="0.3">
      <c r="A13" s="4" t="s">
        <v>58</v>
      </c>
      <c r="B13" s="5">
        <v>46217</v>
      </c>
      <c r="C13" s="4" t="s">
        <v>41</v>
      </c>
      <c r="D13" s="4" t="s">
        <v>67</v>
      </c>
      <c r="E13" s="4" t="s">
        <v>75</v>
      </c>
      <c r="F13" s="4" t="s">
        <v>84</v>
      </c>
      <c r="G13" s="4" t="s">
        <v>48</v>
      </c>
      <c r="H13" s="4" t="s">
        <v>15</v>
      </c>
      <c r="I13" s="4" t="s">
        <v>16</v>
      </c>
      <c r="J13" s="4">
        <v>2</v>
      </c>
      <c r="K13" s="2">
        <v>9000</v>
      </c>
      <c r="L13" s="2">
        <v>15</v>
      </c>
      <c r="M13" s="4" t="s">
        <v>36</v>
      </c>
      <c r="N13" s="4" t="s">
        <v>18</v>
      </c>
      <c r="O13" s="4" t="s">
        <v>30</v>
      </c>
      <c r="P13" s="4">
        <v>18000</v>
      </c>
      <c r="Q13" s="4" t="s">
        <v>97</v>
      </c>
    </row>
    <row r="14" spans="1:17" x14ac:dyDescent="0.3">
      <c r="A14" s="4" t="s">
        <v>46</v>
      </c>
      <c r="B14" s="5">
        <v>46211</v>
      </c>
      <c r="C14" s="6"/>
      <c r="D14" s="6"/>
      <c r="E14" s="6"/>
      <c r="F14" s="6"/>
      <c r="G14" s="4" t="s">
        <v>48</v>
      </c>
      <c r="H14" s="4" t="s">
        <v>15</v>
      </c>
      <c r="I14" s="4" t="s">
        <v>49</v>
      </c>
      <c r="J14" s="4">
        <v>1</v>
      </c>
      <c r="K14" s="2">
        <v>9000</v>
      </c>
      <c r="L14" s="2">
        <v>5</v>
      </c>
      <c r="M14" s="4" t="s">
        <v>17</v>
      </c>
      <c r="N14" s="4" t="s">
        <v>29</v>
      </c>
      <c r="O14" s="4" t="s">
        <v>30</v>
      </c>
      <c r="P14" s="4">
        <v>9000</v>
      </c>
      <c r="Q14" s="4" t="s">
        <v>98</v>
      </c>
    </row>
    <row r="15" spans="1:17" x14ac:dyDescent="0.3">
      <c r="A15" s="4" t="s">
        <v>37</v>
      </c>
      <c r="B15" s="5">
        <v>46208</v>
      </c>
      <c r="C15" s="4" t="s">
        <v>13</v>
      </c>
      <c r="D15" s="4" t="s">
        <v>64</v>
      </c>
      <c r="E15" s="4" t="s">
        <v>72</v>
      </c>
      <c r="F15" s="4" t="s">
        <v>81</v>
      </c>
      <c r="G15" s="4" t="s">
        <v>38</v>
      </c>
      <c r="H15" s="4" t="s">
        <v>34</v>
      </c>
      <c r="I15" s="4" t="s">
        <v>23</v>
      </c>
      <c r="J15" s="4">
        <v>2</v>
      </c>
      <c r="K15" s="2">
        <v>8000</v>
      </c>
      <c r="L15" s="2">
        <v>10</v>
      </c>
      <c r="M15" s="4" t="s">
        <v>24</v>
      </c>
      <c r="N15" s="4" t="s">
        <v>29</v>
      </c>
      <c r="O15" s="4" t="s">
        <v>39</v>
      </c>
      <c r="P15" s="4">
        <v>16000</v>
      </c>
      <c r="Q15" s="4" t="s">
        <v>99</v>
      </c>
    </row>
    <row r="16" spans="1:17" x14ac:dyDescent="0.3">
      <c r="A16" s="4" t="s">
        <v>55</v>
      </c>
      <c r="B16" s="5">
        <v>46215</v>
      </c>
      <c r="C16" s="4" t="s">
        <v>27</v>
      </c>
      <c r="D16" s="4" t="s">
        <v>65</v>
      </c>
      <c r="E16" s="4" t="s">
        <v>73</v>
      </c>
      <c r="F16" s="4" t="s">
        <v>82</v>
      </c>
      <c r="G16" s="4" t="s">
        <v>38</v>
      </c>
      <c r="H16" s="4" t="s">
        <v>34</v>
      </c>
      <c r="I16" s="4" t="s">
        <v>35</v>
      </c>
      <c r="J16" s="4">
        <v>2</v>
      </c>
      <c r="K16" s="2">
        <v>8000</v>
      </c>
      <c r="L16" s="2">
        <v>0</v>
      </c>
      <c r="M16" s="4" t="s">
        <v>24</v>
      </c>
      <c r="N16" s="4" t="s">
        <v>18</v>
      </c>
      <c r="O16" s="4" t="s">
        <v>56</v>
      </c>
      <c r="P16" s="4">
        <v>16000</v>
      </c>
      <c r="Q16" s="4" t="s">
        <v>100</v>
      </c>
    </row>
    <row r="19" spans="7:7" x14ac:dyDescent="0.3">
      <c r="G19" t="str" cm="1">
        <f t="array" ref="G19:G33">LOWER(Table3510[Customer Name])</f>
        <v>emma wilson</v>
      </c>
    </row>
    <row r="20" spans="7:7" x14ac:dyDescent="0.3">
      <c r="G20" t="str">
        <v>john smith</v>
      </c>
    </row>
    <row r="21" spans="7:7" x14ac:dyDescent="0.3">
      <c r="G21" t="str">
        <v>emma wilson</v>
      </c>
    </row>
    <row r="22" spans="7:7" x14ac:dyDescent="0.3">
      <c r="G22" t="str">
        <v>david lee</v>
      </c>
    </row>
    <row r="23" spans="7:7" x14ac:dyDescent="0.3">
      <c r="G23" t="str">
        <v>john smith</v>
      </c>
    </row>
    <row r="24" spans="7:7" x14ac:dyDescent="0.3">
      <c r="G24" t="str">
        <v>alice brown</v>
      </c>
    </row>
    <row r="25" spans="7:7" x14ac:dyDescent="0.3">
      <c r="G25" t="str">
        <v>ravi kumar</v>
      </c>
    </row>
    <row r="26" spans="7:7" x14ac:dyDescent="0.3">
      <c r="G26" t="str">
        <v>anil kumar</v>
      </c>
    </row>
    <row r="27" spans="7:7" x14ac:dyDescent="0.3">
      <c r="G27" t="str">
        <v>meena devi</v>
      </c>
    </row>
    <row r="28" spans="7:7" x14ac:dyDescent="0.3">
      <c r="G28" t="str">
        <v>sarah jones</v>
      </c>
    </row>
    <row r="29" spans="7:7" x14ac:dyDescent="0.3">
      <c r="G29" t="str">
        <v>alice brown</v>
      </c>
    </row>
    <row r="30" spans="7:7" x14ac:dyDescent="0.3">
      <c r="G30" t="str">
        <v>ravi kumar</v>
      </c>
    </row>
    <row r="31" spans="7:7" x14ac:dyDescent="0.3">
      <c r="G31" t="str">
        <v/>
      </c>
    </row>
    <row r="32" spans="7:7" x14ac:dyDescent="0.3">
      <c r="G32" t="str">
        <v>john smith</v>
      </c>
    </row>
    <row r="33" spans="7:7" x14ac:dyDescent="0.3">
      <c r="G33" t="str">
        <v>david lee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5B78-E8FE-4041-A244-BC09CE98A02C}">
  <dimension ref="A1:M20"/>
  <sheetViews>
    <sheetView zoomScale="72" workbookViewId="0">
      <selection sqref="A1:M16"/>
    </sheetView>
  </sheetViews>
  <sheetFormatPr defaultRowHeight="14.4" x14ac:dyDescent="0.3"/>
  <cols>
    <col min="2" max="2" width="11.44140625" customWidth="1"/>
    <col min="3" max="3" width="13.5546875" customWidth="1"/>
    <col min="5" max="5" width="13.109375" customWidth="1"/>
    <col min="6" max="6" width="10.77734375" customWidth="1"/>
  </cols>
  <sheetData>
    <row r="1" spans="1:13" ht="28.8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60</v>
      </c>
    </row>
    <row r="2" spans="1:13" x14ac:dyDescent="0.3">
      <c r="A2" s="4" t="s">
        <v>31</v>
      </c>
      <c r="B2" s="5">
        <v>46207</v>
      </c>
      <c r="C2" s="4" t="s">
        <v>32</v>
      </c>
      <c r="D2" s="4" t="s">
        <v>33</v>
      </c>
      <c r="E2" s="4" t="s">
        <v>34</v>
      </c>
      <c r="F2" s="4" t="s">
        <v>35</v>
      </c>
      <c r="G2" s="4">
        <v>4</v>
      </c>
      <c r="H2" s="2">
        <v>3500</v>
      </c>
      <c r="I2" s="2">
        <v>15</v>
      </c>
      <c r="J2" s="4" t="s">
        <v>36</v>
      </c>
      <c r="K2" s="4" t="s">
        <v>18</v>
      </c>
      <c r="L2" s="4" t="s">
        <v>19</v>
      </c>
      <c r="M2" s="4">
        <v>14000</v>
      </c>
    </row>
    <row r="3" spans="1:13" x14ac:dyDescent="0.3">
      <c r="A3" s="4" t="s">
        <v>54</v>
      </c>
      <c r="B3" s="5">
        <v>46214</v>
      </c>
      <c r="C3" s="4" t="s">
        <v>13</v>
      </c>
      <c r="D3" s="4" t="s">
        <v>33</v>
      </c>
      <c r="E3" s="4" t="s">
        <v>34</v>
      </c>
      <c r="F3" s="4" t="s">
        <v>16</v>
      </c>
      <c r="G3" s="4">
        <v>3</v>
      </c>
      <c r="H3" s="2">
        <v>3500</v>
      </c>
      <c r="I3" s="2">
        <v>5</v>
      </c>
      <c r="J3" s="4" t="s">
        <v>17</v>
      </c>
      <c r="K3" s="4" t="s">
        <v>29</v>
      </c>
      <c r="L3" s="4" t="s">
        <v>19</v>
      </c>
      <c r="M3" s="4">
        <v>10500</v>
      </c>
    </row>
    <row r="4" spans="1:13" x14ac:dyDescent="0.3">
      <c r="A4" s="4" t="s">
        <v>57</v>
      </c>
      <c r="B4" s="5">
        <v>46216</v>
      </c>
      <c r="C4" s="4" t="s">
        <v>32</v>
      </c>
      <c r="D4" s="4" t="s">
        <v>28</v>
      </c>
      <c r="E4" s="4" t="s">
        <v>15</v>
      </c>
      <c r="F4" s="4" t="s">
        <v>49</v>
      </c>
      <c r="G4" s="4">
        <v>4</v>
      </c>
      <c r="H4" s="2">
        <v>1200</v>
      </c>
      <c r="I4" s="2">
        <v>10</v>
      </c>
      <c r="J4" s="4" t="s">
        <v>17</v>
      </c>
      <c r="K4" s="4" t="s">
        <v>25</v>
      </c>
      <c r="L4" s="4" t="s">
        <v>19</v>
      </c>
      <c r="M4" s="4">
        <v>4800</v>
      </c>
    </row>
    <row r="5" spans="1:13" x14ac:dyDescent="0.3">
      <c r="A5" s="4" t="s">
        <v>26</v>
      </c>
      <c r="B5" s="5">
        <v>46206</v>
      </c>
      <c r="C5" s="4" t="s">
        <v>27</v>
      </c>
      <c r="D5" s="4" t="s">
        <v>28</v>
      </c>
      <c r="E5" s="4" t="s">
        <v>15</v>
      </c>
      <c r="F5" s="4" t="s">
        <v>16</v>
      </c>
      <c r="G5" s="4">
        <v>3</v>
      </c>
      <c r="H5" s="2">
        <v>1200</v>
      </c>
      <c r="I5" s="2">
        <v>0</v>
      </c>
      <c r="J5" s="4" t="s">
        <v>17</v>
      </c>
      <c r="K5" s="4" t="s">
        <v>29</v>
      </c>
      <c r="L5" s="4" t="s">
        <v>30</v>
      </c>
      <c r="M5" s="4">
        <v>3600</v>
      </c>
    </row>
    <row r="6" spans="1:13" x14ac:dyDescent="0.3">
      <c r="A6" s="4" t="s">
        <v>12</v>
      </c>
      <c r="B6" s="5">
        <v>46204</v>
      </c>
      <c r="C6" s="4" t="s">
        <v>13</v>
      </c>
      <c r="D6" s="4" t="s">
        <v>14</v>
      </c>
      <c r="E6" s="4" t="s">
        <v>15</v>
      </c>
      <c r="F6" s="4" t="s">
        <v>16</v>
      </c>
      <c r="G6" s="4">
        <v>2</v>
      </c>
      <c r="H6" s="2">
        <v>55000</v>
      </c>
      <c r="I6" s="2">
        <v>10</v>
      </c>
      <c r="J6" s="4" t="s">
        <v>17</v>
      </c>
      <c r="K6" s="4" t="s">
        <v>18</v>
      </c>
      <c r="L6" s="4" t="s">
        <v>19</v>
      </c>
      <c r="M6" s="4">
        <v>110000</v>
      </c>
    </row>
    <row r="7" spans="1:13" x14ac:dyDescent="0.3">
      <c r="A7" s="4" t="s">
        <v>59</v>
      </c>
      <c r="B7" s="5">
        <v>46218</v>
      </c>
      <c r="C7" s="4" t="s">
        <v>21</v>
      </c>
      <c r="D7" s="4" t="s">
        <v>14</v>
      </c>
      <c r="E7" s="4" t="s">
        <v>15</v>
      </c>
      <c r="F7" s="4" t="s">
        <v>23</v>
      </c>
      <c r="G7" s="4">
        <v>1</v>
      </c>
      <c r="H7" s="2">
        <v>55000</v>
      </c>
      <c r="I7" s="2">
        <v>5</v>
      </c>
      <c r="J7" s="4" t="s">
        <v>17</v>
      </c>
      <c r="K7" s="4" t="s">
        <v>29</v>
      </c>
      <c r="L7" s="4" t="s">
        <v>19</v>
      </c>
      <c r="M7" s="4">
        <v>55000</v>
      </c>
    </row>
    <row r="8" spans="1:13" x14ac:dyDescent="0.3">
      <c r="A8" s="4" t="s">
        <v>40</v>
      </c>
      <c r="B8" s="5">
        <v>46209</v>
      </c>
      <c r="C8" s="4" t="s">
        <v>41</v>
      </c>
      <c r="D8" s="4" t="s">
        <v>14</v>
      </c>
      <c r="E8" s="4" t="s">
        <v>15</v>
      </c>
      <c r="F8" s="4" t="s">
        <v>16</v>
      </c>
      <c r="G8" s="4">
        <v>1</v>
      </c>
      <c r="H8" s="2">
        <v>55000</v>
      </c>
      <c r="I8" s="2">
        <v>5</v>
      </c>
      <c r="J8" s="4" t="s">
        <v>17</v>
      </c>
      <c r="K8" s="4" t="s">
        <v>25</v>
      </c>
      <c r="L8" s="4" t="s">
        <v>19</v>
      </c>
      <c r="M8" s="4">
        <v>55000</v>
      </c>
    </row>
    <row r="9" spans="1:13" x14ac:dyDescent="0.3">
      <c r="A9" s="4" t="s">
        <v>50</v>
      </c>
      <c r="B9" s="5">
        <v>46212</v>
      </c>
      <c r="C9" s="4" t="s">
        <v>51</v>
      </c>
      <c r="D9" s="4" t="s">
        <v>14</v>
      </c>
      <c r="E9" s="4" t="s">
        <v>15</v>
      </c>
      <c r="F9" s="4" t="s">
        <v>16</v>
      </c>
      <c r="G9" s="6"/>
      <c r="H9" s="2">
        <v>55000</v>
      </c>
      <c r="I9" s="2">
        <v>0</v>
      </c>
      <c r="J9" s="4" t="s">
        <v>24</v>
      </c>
      <c r="K9" s="4" t="s">
        <v>18</v>
      </c>
      <c r="L9" s="4" t="s">
        <v>19</v>
      </c>
      <c r="M9" s="6"/>
    </row>
    <row r="10" spans="1:13" x14ac:dyDescent="0.3">
      <c r="A10" s="4" t="s">
        <v>42</v>
      </c>
      <c r="B10" s="5">
        <v>46210</v>
      </c>
      <c r="C10" s="4" t="s">
        <v>43</v>
      </c>
      <c r="D10" s="4" t="s">
        <v>44</v>
      </c>
      <c r="E10" s="4" t="s">
        <v>15</v>
      </c>
      <c r="F10" s="4" t="s">
        <v>45</v>
      </c>
      <c r="G10" s="4">
        <v>2</v>
      </c>
      <c r="H10" s="2">
        <v>15000</v>
      </c>
      <c r="I10" s="2">
        <v>10</v>
      </c>
      <c r="J10" s="4" t="s">
        <v>36</v>
      </c>
      <c r="K10" s="4" t="s">
        <v>18</v>
      </c>
      <c r="L10" s="4" t="s">
        <v>19</v>
      </c>
      <c r="M10" s="4">
        <v>30000</v>
      </c>
    </row>
    <row r="11" spans="1:13" x14ac:dyDescent="0.3">
      <c r="A11" s="4" t="s">
        <v>52</v>
      </c>
      <c r="B11" s="5">
        <v>46213</v>
      </c>
      <c r="C11" s="4" t="s">
        <v>53</v>
      </c>
      <c r="D11" s="4" t="s">
        <v>22</v>
      </c>
      <c r="E11" s="4" t="s">
        <v>15</v>
      </c>
      <c r="F11" s="4" t="s">
        <v>23</v>
      </c>
      <c r="G11" s="4">
        <v>6</v>
      </c>
      <c r="H11" s="2">
        <v>500</v>
      </c>
      <c r="I11" s="2">
        <v>10</v>
      </c>
      <c r="J11" s="4" t="s">
        <v>36</v>
      </c>
      <c r="K11" s="4" t="s">
        <v>25</v>
      </c>
      <c r="L11" s="4" t="s">
        <v>19</v>
      </c>
      <c r="M11" s="4">
        <v>3000</v>
      </c>
    </row>
    <row r="12" spans="1:13" x14ac:dyDescent="0.3">
      <c r="A12" s="4" t="s">
        <v>20</v>
      </c>
      <c r="B12" s="5">
        <v>46205</v>
      </c>
      <c r="C12" s="4" t="s">
        <v>21</v>
      </c>
      <c r="D12" s="4" t="s">
        <v>22</v>
      </c>
      <c r="E12" s="4" t="s">
        <v>15</v>
      </c>
      <c r="F12" s="4" t="s">
        <v>23</v>
      </c>
      <c r="G12" s="4">
        <v>5</v>
      </c>
      <c r="H12" s="2">
        <v>500</v>
      </c>
      <c r="I12" s="2">
        <v>5</v>
      </c>
      <c r="J12" s="4" t="s">
        <v>24</v>
      </c>
      <c r="K12" s="4" t="s">
        <v>25</v>
      </c>
      <c r="L12" s="4" t="s">
        <v>19</v>
      </c>
      <c r="M12" s="4">
        <v>2500</v>
      </c>
    </row>
    <row r="13" spans="1:13" x14ac:dyDescent="0.3">
      <c r="A13" s="4" t="s">
        <v>58</v>
      </c>
      <c r="B13" s="5">
        <v>46217</v>
      </c>
      <c r="C13" s="4" t="s">
        <v>41</v>
      </c>
      <c r="D13" s="4" t="s">
        <v>48</v>
      </c>
      <c r="E13" s="4" t="s">
        <v>15</v>
      </c>
      <c r="F13" s="4" t="s">
        <v>16</v>
      </c>
      <c r="G13" s="4">
        <v>2</v>
      </c>
      <c r="H13" s="2">
        <v>9000</v>
      </c>
      <c r="I13" s="2">
        <v>15</v>
      </c>
      <c r="J13" s="4" t="s">
        <v>36</v>
      </c>
      <c r="K13" s="4" t="s">
        <v>18</v>
      </c>
      <c r="L13" s="4" t="s">
        <v>30</v>
      </c>
      <c r="M13" s="4">
        <v>18000</v>
      </c>
    </row>
    <row r="14" spans="1:13" x14ac:dyDescent="0.3">
      <c r="A14" s="4" t="s">
        <v>46</v>
      </c>
      <c r="B14" s="5">
        <v>46211</v>
      </c>
      <c r="C14" s="6"/>
      <c r="D14" s="4" t="s">
        <v>48</v>
      </c>
      <c r="E14" s="4" t="s">
        <v>15</v>
      </c>
      <c r="F14" s="4" t="s">
        <v>49</v>
      </c>
      <c r="G14" s="4">
        <v>1</v>
      </c>
      <c r="H14" s="2">
        <v>9000</v>
      </c>
      <c r="I14" s="2">
        <v>5</v>
      </c>
      <c r="J14" s="4" t="s">
        <v>17</v>
      </c>
      <c r="K14" s="4" t="s">
        <v>29</v>
      </c>
      <c r="L14" s="4" t="s">
        <v>30</v>
      </c>
      <c r="M14" s="4">
        <v>9000</v>
      </c>
    </row>
    <row r="15" spans="1:13" x14ac:dyDescent="0.3">
      <c r="A15" s="4" t="s">
        <v>37</v>
      </c>
      <c r="B15" s="5">
        <v>46208</v>
      </c>
      <c r="C15" s="4" t="s">
        <v>13</v>
      </c>
      <c r="D15" s="4" t="s">
        <v>38</v>
      </c>
      <c r="E15" s="4" t="s">
        <v>34</v>
      </c>
      <c r="F15" s="4" t="s">
        <v>23</v>
      </c>
      <c r="G15" s="4">
        <v>2</v>
      </c>
      <c r="H15" s="2">
        <v>8000</v>
      </c>
      <c r="I15" s="2">
        <v>10</v>
      </c>
      <c r="J15" s="4" t="s">
        <v>24</v>
      </c>
      <c r="K15" s="4" t="s">
        <v>29</v>
      </c>
      <c r="L15" s="4" t="s">
        <v>39</v>
      </c>
      <c r="M15" s="4">
        <v>16000</v>
      </c>
    </row>
    <row r="16" spans="1:13" x14ac:dyDescent="0.3">
      <c r="A16" s="4" t="s">
        <v>55</v>
      </c>
      <c r="B16" s="5">
        <v>46215</v>
      </c>
      <c r="C16" s="4" t="s">
        <v>27</v>
      </c>
      <c r="D16" s="4" t="s">
        <v>38</v>
      </c>
      <c r="E16" s="4" t="s">
        <v>34</v>
      </c>
      <c r="F16" s="4" t="s">
        <v>35</v>
      </c>
      <c r="G16" s="4">
        <v>2</v>
      </c>
      <c r="H16" s="2">
        <v>8000</v>
      </c>
      <c r="I16" s="2">
        <v>0</v>
      </c>
      <c r="J16" s="4" t="s">
        <v>24</v>
      </c>
      <c r="K16" s="4" t="s">
        <v>18</v>
      </c>
      <c r="L16" s="4" t="s">
        <v>56</v>
      </c>
      <c r="M16" s="4">
        <v>16000</v>
      </c>
    </row>
    <row r="17" spans="1:13" x14ac:dyDescent="0.3">
      <c r="A17" s="4">
        <f>COUNTA(Table3511[Order ID])</f>
        <v>15</v>
      </c>
      <c r="B17" s="5"/>
      <c r="C17" s="4"/>
      <c r="D17" s="4"/>
      <c r="E17" s="4"/>
      <c r="F17" s="4"/>
      <c r="G17" s="4"/>
      <c r="H17" s="2"/>
      <c r="I17" s="2"/>
      <c r="J17" s="4"/>
      <c r="K17" s="4"/>
      <c r="L17" s="4"/>
      <c r="M17" s="4">
        <f>SUM(Table3511[Sales])</f>
        <v>347400</v>
      </c>
    </row>
    <row r="18" spans="1:13" x14ac:dyDescent="0.3">
      <c r="C18">
        <f>COUNTA(Table3511[Customer Name])</f>
        <v>14</v>
      </c>
      <c r="E18">
        <f>SUMIF(Table3511[Category],"Electronics",Table3511[Sales])</f>
        <v>290900</v>
      </c>
      <c r="F18">
        <f>AVERAGEIF(Table3511[City],"Chennai",Table3511[Sales])</f>
        <v>39420</v>
      </c>
      <c r="G18">
        <f>SUM(Table3511[Quantity])</f>
        <v>38</v>
      </c>
      <c r="I18">
        <f>SUM(Table3511[Discount %])</f>
        <v>105</v>
      </c>
      <c r="J18">
        <f>SUMIF(Table3511[Sales Person],"Rahul",Table3511[Sales])</f>
        <v>247900</v>
      </c>
      <c r="M18">
        <f>MAX(Table3511[Sales])</f>
        <v>110000</v>
      </c>
    </row>
    <row r="19" spans="1:13" x14ac:dyDescent="0.3">
      <c r="C19">
        <f>COUNTBLANK(Table3511[Customer Name])</f>
        <v>1</v>
      </c>
      <c r="E19">
        <f>SUMIF(E2:E16,"Furniture",Table3511[Sales])</f>
        <v>56500</v>
      </c>
      <c r="J19">
        <f>SUMIF(Table3511[Sales Person],"Priya",Table3511[Sales])</f>
        <v>34500</v>
      </c>
      <c r="M19">
        <f>MIN(Table3511[Sales])</f>
        <v>2500</v>
      </c>
    </row>
    <row r="20" spans="1:13" x14ac:dyDescent="0.3">
      <c r="C20">
        <f>COUNTA(_xlfn.UNIQUE(Table3511[Customer Name]))</f>
        <v>9</v>
      </c>
      <c r="M20">
        <f>AVERAGE(Table3511[Sales])</f>
        <v>24814.285714285714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895B-652C-4CB4-B6D9-B4AD30C1DC91}">
  <dimension ref="A1:M16"/>
  <sheetViews>
    <sheetView tabSelected="1" zoomScale="63" workbookViewId="0">
      <selection activeCell="N2" sqref="N2"/>
    </sheetView>
  </sheetViews>
  <sheetFormatPr defaultRowHeight="14.4" x14ac:dyDescent="0.3"/>
  <cols>
    <col min="2" max="2" width="10.5546875" customWidth="1"/>
    <col min="3" max="3" width="11.88671875" customWidth="1"/>
    <col min="5" max="5" width="11.33203125" customWidth="1"/>
    <col min="6" max="6" width="10.5546875" customWidth="1"/>
    <col min="12" max="12" width="10.33203125" customWidth="1"/>
  </cols>
  <sheetData>
    <row r="1" spans="1:13" ht="28.8" x14ac:dyDescent="0.3">
      <c r="A1" s="8" t="s">
        <v>1</v>
      </c>
      <c r="B1" s="9" t="s">
        <v>2</v>
      </c>
      <c r="C1" s="9" t="s">
        <v>3</v>
      </c>
      <c r="D1" s="9" t="s">
        <v>0</v>
      </c>
      <c r="E1" s="9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9" t="s">
        <v>9</v>
      </c>
      <c r="K1" s="9" t="s">
        <v>10</v>
      </c>
      <c r="L1" s="9" t="s">
        <v>11</v>
      </c>
      <c r="M1" s="11" t="s">
        <v>60</v>
      </c>
    </row>
    <row r="2" spans="1:13" ht="28.8" x14ac:dyDescent="0.3">
      <c r="A2" s="12" t="s">
        <v>31</v>
      </c>
      <c r="B2" s="13">
        <v>46207</v>
      </c>
      <c r="C2" s="14" t="s">
        <v>32</v>
      </c>
      <c r="D2" s="14" t="s">
        <v>33</v>
      </c>
      <c r="E2" s="14" t="s">
        <v>34</v>
      </c>
      <c r="F2" s="14" t="s">
        <v>35</v>
      </c>
      <c r="G2" s="14">
        <v>4</v>
      </c>
      <c r="H2" s="15">
        <v>3500</v>
      </c>
      <c r="I2" s="15">
        <v>15</v>
      </c>
      <c r="J2" s="14" t="s">
        <v>36</v>
      </c>
      <c r="K2" s="14" t="s">
        <v>18</v>
      </c>
      <c r="L2" s="14" t="s">
        <v>19</v>
      </c>
      <c r="M2" s="16">
        <v>14000</v>
      </c>
    </row>
    <row r="3" spans="1:13" ht="28.8" x14ac:dyDescent="0.3">
      <c r="A3" s="17" t="s">
        <v>54</v>
      </c>
      <c r="B3" s="18">
        <v>46214</v>
      </c>
      <c r="C3" s="19" t="s">
        <v>13</v>
      </c>
      <c r="D3" s="19" t="s">
        <v>33</v>
      </c>
      <c r="E3" s="19" t="s">
        <v>34</v>
      </c>
      <c r="F3" s="19" t="s">
        <v>16</v>
      </c>
      <c r="G3" s="19">
        <v>3</v>
      </c>
      <c r="H3" s="20">
        <v>3500</v>
      </c>
      <c r="I3" s="20">
        <v>5</v>
      </c>
      <c r="J3" s="19" t="s">
        <v>17</v>
      </c>
      <c r="K3" s="19" t="s">
        <v>29</v>
      </c>
      <c r="L3" s="19" t="s">
        <v>19</v>
      </c>
      <c r="M3" s="21">
        <v>10500</v>
      </c>
    </row>
    <row r="4" spans="1:13" ht="28.8" x14ac:dyDescent="0.3">
      <c r="A4" s="12" t="s">
        <v>57</v>
      </c>
      <c r="B4" s="13">
        <v>46216</v>
      </c>
      <c r="C4" s="14" t="s">
        <v>32</v>
      </c>
      <c r="D4" s="14" t="s">
        <v>28</v>
      </c>
      <c r="E4" s="14" t="s">
        <v>15</v>
      </c>
      <c r="F4" s="14" t="s">
        <v>49</v>
      </c>
      <c r="G4" s="14">
        <v>4</v>
      </c>
      <c r="H4" s="15">
        <v>1200</v>
      </c>
      <c r="I4" s="15">
        <v>10</v>
      </c>
      <c r="J4" s="14" t="s">
        <v>17</v>
      </c>
      <c r="K4" s="14" t="s">
        <v>25</v>
      </c>
      <c r="L4" s="14" t="s">
        <v>19</v>
      </c>
      <c r="M4" s="16">
        <v>4800</v>
      </c>
    </row>
    <row r="5" spans="1:13" ht="28.8" x14ac:dyDescent="0.3">
      <c r="A5" s="17" t="s">
        <v>26</v>
      </c>
      <c r="B5" s="18">
        <v>46206</v>
      </c>
      <c r="C5" s="19" t="s">
        <v>27</v>
      </c>
      <c r="D5" s="19" t="s">
        <v>28</v>
      </c>
      <c r="E5" s="19" t="s">
        <v>15</v>
      </c>
      <c r="F5" s="19" t="s">
        <v>16</v>
      </c>
      <c r="G5" s="19">
        <v>3</v>
      </c>
      <c r="H5" s="20">
        <v>1200</v>
      </c>
      <c r="I5" s="20">
        <v>0</v>
      </c>
      <c r="J5" s="19" t="s">
        <v>17</v>
      </c>
      <c r="K5" s="19" t="s">
        <v>29</v>
      </c>
      <c r="L5" s="19" t="s">
        <v>30</v>
      </c>
      <c r="M5" s="21">
        <v>3600</v>
      </c>
    </row>
    <row r="6" spans="1:13" ht="28.8" x14ac:dyDescent="0.3">
      <c r="A6" s="12" t="s">
        <v>12</v>
      </c>
      <c r="B6" s="13">
        <v>46204</v>
      </c>
      <c r="C6" s="14" t="s">
        <v>13</v>
      </c>
      <c r="D6" s="14" t="s">
        <v>14</v>
      </c>
      <c r="E6" s="14" t="s">
        <v>15</v>
      </c>
      <c r="F6" s="14" t="s">
        <v>16</v>
      </c>
      <c r="G6" s="14">
        <v>2</v>
      </c>
      <c r="H6" s="15">
        <v>55000</v>
      </c>
      <c r="I6" s="15">
        <v>10</v>
      </c>
      <c r="J6" s="14" t="s">
        <v>17</v>
      </c>
      <c r="K6" s="14" t="s">
        <v>18</v>
      </c>
      <c r="L6" s="14" t="s">
        <v>19</v>
      </c>
      <c r="M6" s="16">
        <v>110000</v>
      </c>
    </row>
    <row r="7" spans="1:13" ht="28.8" x14ac:dyDescent="0.3">
      <c r="A7" s="17" t="s">
        <v>59</v>
      </c>
      <c r="B7" s="18">
        <v>46218</v>
      </c>
      <c r="C7" s="19" t="s">
        <v>21</v>
      </c>
      <c r="D7" s="19" t="s">
        <v>14</v>
      </c>
      <c r="E7" s="19" t="s">
        <v>15</v>
      </c>
      <c r="F7" s="19" t="s">
        <v>23</v>
      </c>
      <c r="G7" s="19">
        <v>1</v>
      </c>
      <c r="H7" s="20">
        <v>55000</v>
      </c>
      <c r="I7" s="20">
        <v>5</v>
      </c>
      <c r="J7" s="19" t="s">
        <v>17</v>
      </c>
      <c r="K7" s="19" t="s">
        <v>29</v>
      </c>
      <c r="L7" s="19" t="s">
        <v>19</v>
      </c>
      <c r="M7" s="21">
        <v>55000</v>
      </c>
    </row>
    <row r="8" spans="1:13" ht="28.8" x14ac:dyDescent="0.3">
      <c r="A8" s="12" t="s">
        <v>40</v>
      </c>
      <c r="B8" s="13">
        <v>46209</v>
      </c>
      <c r="C8" s="14" t="s">
        <v>41</v>
      </c>
      <c r="D8" s="14" t="s">
        <v>14</v>
      </c>
      <c r="E8" s="14" t="s">
        <v>15</v>
      </c>
      <c r="F8" s="14" t="s">
        <v>16</v>
      </c>
      <c r="G8" s="14">
        <v>1</v>
      </c>
      <c r="H8" s="15">
        <v>55000</v>
      </c>
      <c r="I8" s="15">
        <v>5</v>
      </c>
      <c r="J8" s="14" t="s">
        <v>17</v>
      </c>
      <c r="K8" s="14" t="s">
        <v>25</v>
      </c>
      <c r="L8" s="14" t="s">
        <v>19</v>
      </c>
      <c r="M8" s="16">
        <v>55000</v>
      </c>
    </row>
    <row r="9" spans="1:13" ht="28.8" x14ac:dyDescent="0.3">
      <c r="A9" s="17" t="s">
        <v>50</v>
      </c>
      <c r="B9" s="18">
        <v>46212</v>
      </c>
      <c r="C9" s="19" t="s">
        <v>51</v>
      </c>
      <c r="D9" s="19" t="s">
        <v>14</v>
      </c>
      <c r="E9" s="19" t="s">
        <v>15</v>
      </c>
      <c r="F9" s="19" t="s">
        <v>16</v>
      </c>
      <c r="G9" s="22"/>
      <c r="H9" s="20">
        <v>55000</v>
      </c>
      <c r="I9" s="20">
        <v>0</v>
      </c>
      <c r="J9" s="19" t="s">
        <v>24</v>
      </c>
      <c r="K9" s="19" t="s">
        <v>18</v>
      </c>
      <c r="L9" s="19" t="s">
        <v>19</v>
      </c>
      <c r="M9" s="23"/>
    </row>
    <row r="10" spans="1:13" ht="28.8" x14ac:dyDescent="0.3">
      <c r="A10" s="12" t="s">
        <v>42</v>
      </c>
      <c r="B10" s="13">
        <v>46210</v>
      </c>
      <c r="C10" s="14" t="s">
        <v>43</v>
      </c>
      <c r="D10" s="14" t="s">
        <v>44</v>
      </c>
      <c r="E10" s="14" t="s">
        <v>15</v>
      </c>
      <c r="F10" s="14" t="s">
        <v>45</v>
      </c>
      <c r="G10" s="14">
        <v>2</v>
      </c>
      <c r="H10" s="15">
        <v>15000</v>
      </c>
      <c r="I10" s="15">
        <v>10</v>
      </c>
      <c r="J10" s="14" t="s">
        <v>36</v>
      </c>
      <c r="K10" s="14" t="s">
        <v>18</v>
      </c>
      <c r="L10" s="14" t="s">
        <v>19</v>
      </c>
      <c r="M10" s="16">
        <v>30000</v>
      </c>
    </row>
    <row r="11" spans="1:13" ht="28.8" x14ac:dyDescent="0.3">
      <c r="A11" s="17" t="s">
        <v>52</v>
      </c>
      <c r="B11" s="18">
        <v>46213</v>
      </c>
      <c r="C11" s="19" t="s">
        <v>53</v>
      </c>
      <c r="D11" s="19" t="s">
        <v>22</v>
      </c>
      <c r="E11" s="19" t="s">
        <v>15</v>
      </c>
      <c r="F11" s="19" t="s">
        <v>23</v>
      </c>
      <c r="G11" s="19">
        <v>6</v>
      </c>
      <c r="H11" s="20">
        <v>500</v>
      </c>
      <c r="I11" s="20">
        <v>10</v>
      </c>
      <c r="J11" s="19" t="s">
        <v>36</v>
      </c>
      <c r="K11" s="19" t="s">
        <v>25</v>
      </c>
      <c r="L11" s="19" t="s">
        <v>19</v>
      </c>
      <c r="M11" s="21">
        <v>3000</v>
      </c>
    </row>
    <row r="12" spans="1:13" ht="28.8" x14ac:dyDescent="0.3">
      <c r="A12" s="12" t="s">
        <v>20</v>
      </c>
      <c r="B12" s="13">
        <v>46205</v>
      </c>
      <c r="C12" s="14" t="s">
        <v>21</v>
      </c>
      <c r="D12" s="14" t="s">
        <v>22</v>
      </c>
      <c r="E12" s="14" t="s">
        <v>15</v>
      </c>
      <c r="F12" s="14" t="s">
        <v>23</v>
      </c>
      <c r="G12" s="14">
        <v>5</v>
      </c>
      <c r="H12" s="15">
        <v>500</v>
      </c>
      <c r="I12" s="15">
        <v>5</v>
      </c>
      <c r="J12" s="14" t="s">
        <v>24</v>
      </c>
      <c r="K12" s="14" t="s">
        <v>25</v>
      </c>
      <c r="L12" s="14" t="s">
        <v>19</v>
      </c>
      <c r="M12" s="16">
        <v>2500</v>
      </c>
    </row>
    <row r="13" spans="1:13" x14ac:dyDescent="0.3">
      <c r="A13" s="17" t="s">
        <v>58</v>
      </c>
      <c r="B13" s="18">
        <v>46217</v>
      </c>
      <c r="C13" s="19" t="s">
        <v>41</v>
      </c>
      <c r="D13" s="19" t="s">
        <v>48</v>
      </c>
      <c r="E13" s="19" t="s">
        <v>15</v>
      </c>
      <c r="F13" s="19" t="s">
        <v>16</v>
      </c>
      <c r="G13" s="19">
        <v>2</v>
      </c>
      <c r="H13" s="20">
        <v>9000</v>
      </c>
      <c r="I13" s="20">
        <v>15</v>
      </c>
      <c r="J13" s="19" t="s">
        <v>36</v>
      </c>
      <c r="K13" s="19" t="s">
        <v>18</v>
      </c>
      <c r="L13" s="19" t="s">
        <v>30</v>
      </c>
      <c r="M13" s="21">
        <v>18000</v>
      </c>
    </row>
    <row r="14" spans="1:13" ht="28.8" x14ac:dyDescent="0.3">
      <c r="A14" s="12" t="s">
        <v>46</v>
      </c>
      <c r="B14" s="13">
        <v>46211</v>
      </c>
      <c r="C14" s="24"/>
      <c r="D14" s="14" t="s">
        <v>48</v>
      </c>
      <c r="E14" s="14" t="s">
        <v>15</v>
      </c>
      <c r="F14" s="14" t="s">
        <v>49</v>
      </c>
      <c r="G14" s="14">
        <v>1</v>
      </c>
      <c r="H14" s="15">
        <v>9000</v>
      </c>
      <c r="I14" s="15">
        <v>5</v>
      </c>
      <c r="J14" s="14" t="s">
        <v>17</v>
      </c>
      <c r="K14" s="14" t="s">
        <v>29</v>
      </c>
      <c r="L14" s="14" t="s">
        <v>30</v>
      </c>
      <c r="M14" s="16">
        <v>9000</v>
      </c>
    </row>
    <row r="15" spans="1:13" ht="28.8" x14ac:dyDescent="0.3">
      <c r="A15" s="17" t="s">
        <v>37</v>
      </c>
      <c r="B15" s="18">
        <v>46208</v>
      </c>
      <c r="C15" s="19" t="s">
        <v>13</v>
      </c>
      <c r="D15" s="19" t="s">
        <v>38</v>
      </c>
      <c r="E15" s="19" t="s">
        <v>34</v>
      </c>
      <c r="F15" s="19" t="s">
        <v>23</v>
      </c>
      <c r="G15" s="19">
        <v>2</v>
      </c>
      <c r="H15" s="20">
        <v>8000</v>
      </c>
      <c r="I15" s="20">
        <v>10</v>
      </c>
      <c r="J15" s="19" t="s">
        <v>24</v>
      </c>
      <c r="K15" s="19" t="s">
        <v>29</v>
      </c>
      <c r="L15" s="19" t="s">
        <v>39</v>
      </c>
      <c r="M15" s="21">
        <v>16000</v>
      </c>
    </row>
    <row r="16" spans="1:13" ht="28.8" x14ac:dyDescent="0.3">
      <c r="A16" s="12" t="s">
        <v>55</v>
      </c>
      <c r="B16" s="13">
        <v>46215</v>
      </c>
      <c r="C16" s="14" t="s">
        <v>27</v>
      </c>
      <c r="D16" s="14" t="s">
        <v>38</v>
      </c>
      <c r="E16" s="14" t="s">
        <v>34</v>
      </c>
      <c r="F16" s="14" t="s">
        <v>35</v>
      </c>
      <c r="G16" s="14">
        <v>2</v>
      </c>
      <c r="H16" s="15">
        <v>8000</v>
      </c>
      <c r="I16" s="15">
        <v>0</v>
      </c>
      <c r="J16" s="14" t="s">
        <v>24</v>
      </c>
      <c r="K16" s="14" t="s">
        <v>18</v>
      </c>
      <c r="L16" s="14" t="s">
        <v>56</v>
      </c>
      <c r="M16" s="16">
        <v>16000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Validation</vt:lpstr>
      <vt:lpstr>Conditional Formatting</vt:lpstr>
      <vt:lpstr>Sorting</vt:lpstr>
      <vt:lpstr>Filtering</vt:lpstr>
      <vt:lpstr>Data Cleaning</vt:lpstr>
      <vt:lpstr>Flash-Fill</vt:lpstr>
      <vt:lpstr>Basic Aggregation</vt:lpstr>
      <vt:lpstr>IF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Rakshitha J</dc:creator>
  <cp:lastModifiedBy>Rakshitha J</cp:lastModifiedBy>
  <dcterms:created xsi:type="dcterms:W3CDTF">2026-07-19T12:26:27Z</dcterms:created>
  <dcterms:modified xsi:type="dcterms:W3CDTF">2026-07-20T14:33:16Z</dcterms:modified>
</cp:coreProperties>
</file>